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llplaza-my.sharepoint.com/personal/nicolas_figueroa_mallplaza_com/Documents/Escritorio/"/>
    </mc:Choice>
  </mc:AlternateContent>
  <xr:revisionPtr revIDLastSave="0" documentId="8_{98DC85C5-C916-40DC-A908-DBBDCE4A3A63}" xr6:coauthVersionLast="47" xr6:coauthVersionMax="47" xr10:uidLastSave="{00000000-0000-0000-0000-000000000000}"/>
  <bookViews>
    <workbookView xWindow="-108" yWindow="-108" windowWidth="23256" windowHeight="12456" activeTab="3" xr2:uid="{3DF9E383-2372-45F8-9901-D97B23859C11}"/>
  </bookViews>
  <sheets>
    <sheet name="Fórmulas" sheetId="6" r:id="rId1"/>
    <sheet name="Resumen Vacantes" sheetId="5" r:id="rId2"/>
    <sheet name="Hoja1" sheetId="2" state="hidden" r:id="rId3"/>
    <sheet name="Detalle Vacantes" sheetId="1" r:id="rId4"/>
  </sheets>
  <definedNames>
    <definedName name="_xlnm._FilterDatabase" localSheetId="3" hidden="1">'Detalle Vacantes'!$A$1:$U$93</definedName>
  </definedNames>
  <calcPr calcId="191028" concurrentCalc="0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8" i="1" l="1"/>
  <c r="M147" i="1"/>
  <c r="M9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32" i="1"/>
  <c r="M125" i="1"/>
  <c r="M124" i="1"/>
  <c r="M123" i="1"/>
  <c r="M122" i="1"/>
  <c r="M121" i="1"/>
  <c r="M119" i="1"/>
  <c r="M118" i="1"/>
  <c r="M117" i="1"/>
  <c r="M114" i="1"/>
  <c r="M113" i="1"/>
  <c r="M112" i="1"/>
  <c r="M111" i="1"/>
  <c r="M109" i="1"/>
  <c r="M10" i="1"/>
  <c r="M41" i="1"/>
  <c r="M87" i="1"/>
  <c r="M107" i="1"/>
  <c r="M108" i="1"/>
  <c r="M106" i="1"/>
  <c r="M105" i="1"/>
  <c r="M2" i="1"/>
  <c r="M3" i="1"/>
  <c r="M4" i="1"/>
  <c r="M5" i="1"/>
  <c r="M6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3" i="1"/>
  <c r="M34" i="1"/>
  <c r="M35" i="1"/>
  <c r="M36" i="1"/>
  <c r="M37" i="1"/>
  <c r="M38" i="1"/>
  <c r="M39" i="1"/>
  <c r="M40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8" i="1"/>
  <c r="M89" i="1"/>
  <c r="M90" i="1"/>
  <c r="M91" i="1"/>
  <c r="M92" i="1"/>
  <c r="M93" i="1"/>
  <c r="M94" i="1"/>
  <c r="M95" i="1"/>
  <c r="M96" i="1"/>
  <c r="M98" i="1"/>
  <c r="M99" i="1"/>
  <c r="M100" i="1"/>
  <c r="M101" i="1"/>
  <c r="M102" i="1"/>
  <c r="M103" i="1"/>
  <c r="M104" i="1"/>
</calcChain>
</file>

<file path=xl/sharedStrings.xml><?xml version="1.0" encoding="utf-8"?>
<sst xmlns="http://schemas.openxmlformats.org/spreadsheetml/2006/main" count="2080" uniqueCount="580">
  <si>
    <t>Maria Jose Carrizo</t>
  </si>
  <si>
    <t>Seba Soto</t>
  </si>
  <si>
    <t xml:space="preserve">María Jesús Jiménez </t>
  </si>
  <si>
    <t>Patricia Bustamante</t>
  </si>
  <si>
    <t>Laura Camargo</t>
  </si>
  <si>
    <t>Chile</t>
  </si>
  <si>
    <t>Perú</t>
  </si>
  <si>
    <t>Colombia</t>
  </si>
  <si>
    <t>OVH</t>
  </si>
  <si>
    <t>Ejecutivo</t>
  </si>
  <si>
    <t>Operaciones</t>
  </si>
  <si>
    <t>Reemplazo</t>
  </si>
  <si>
    <t>Nuevo HC</t>
  </si>
  <si>
    <t>Practicante</t>
  </si>
  <si>
    <t>Tecnico/Vendor</t>
  </si>
  <si>
    <t>Administrativo</t>
  </si>
  <si>
    <t>Especialista/Profesional</t>
  </si>
  <si>
    <t>Junior Management</t>
  </si>
  <si>
    <t>Middle Management</t>
  </si>
  <si>
    <t>Top Management</t>
  </si>
  <si>
    <t>Concurso Interno</t>
  </si>
  <si>
    <t>Promoción</t>
  </si>
  <si>
    <t>Búsqueda Externa</t>
  </si>
  <si>
    <t>Activa</t>
  </si>
  <si>
    <t>Cerrada</t>
  </si>
  <si>
    <t>Cancelada</t>
  </si>
  <si>
    <t>Stand By</t>
  </si>
  <si>
    <t>No iniciada</t>
  </si>
  <si>
    <t>En proceso de búsqueda</t>
  </si>
  <si>
    <t>Carta Oferta entregada</t>
  </si>
  <si>
    <t>HRBP</t>
  </si>
  <si>
    <t>(Todas)</t>
  </si>
  <si>
    <t>Cuenta de Líder</t>
  </si>
  <si>
    <t>Etiquetas de columna</t>
  </si>
  <si>
    <t>Etiquetas de fila</t>
  </si>
  <si>
    <t>Total general</t>
  </si>
  <si>
    <t xml:space="preserve"> Dirección Omnichannel &amp; Digital Sales</t>
  </si>
  <si>
    <t>Vacantes Activas y Cerradas por país</t>
  </si>
  <si>
    <t>Filtros</t>
  </si>
  <si>
    <t xml:space="preserve"> Gerencia de Expansión Brownfield y Grandes Superficies</t>
  </si>
  <si>
    <t>País</t>
  </si>
  <si>
    <t>Dirección Omnichannel &amp; Digital Sales</t>
  </si>
  <si>
    <t>Gerencia Comercial Chile</t>
  </si>
  <si>
    <t>Gerencia de Estrategia y Performance</t>
  </si>
  <si>
    <t>Gerencia de Marketing y Experiencia</t>
  </si>
  <si>
    <t>Gerencia de Operaciones</t>
  </si>
  <si>
    <t xml:space="preserve">Gerencia de Tecnología </t>
  </si>
  <si>
    <t>Gerencia Divisional Chile</t>
  </si>
  <si>
    <t>Gerencia Estrategia y Performance</t>
  </si>
  <si>
    <t>Estado</t>
  </si>
  <si>
    <t xml:space="preserve">Gerencia Legal </t>
  </si>
  <si>
    <t>Proyecto SAP</t>
  </si>
  <si>
    <t>Tipo de Cobertura por País</t>
  </si>
  <si>
    <t>Subgerencia Planificación Comercial</t>
  </si>
  <si>
    <t>Movilidad Interna</t>
  </si>
  <si>
    <t>Total Movilidad Interna</t>
  </si>
  <si>
    <t>Vacantes sin información</t>
  </si>
  <si>
    <t>Total Cerradas</t>
  </si>
  <si>
    <t xml:space="preserve">* No se encuentran activas todas las posiciones de marketing hasta que este definida la estructura una vez encontrados los Directores. </t>
  </si>
  <si>
    <t>* No se encuentran activas todas las vacantes de operaciones que se proyectan sacar a fines de febrero y marzo, sujeto a tener primero el reemplazo</t>
  </si>
  <si>
    <t>Coordinador TA Responsable</t>
  </si>
  <si>
    <t>Equipo TA</t>
  </si>
  <si>
    <t>Gerencia</t>
  </si>
  <si>
    <t>Motivo de Busqueda</t>
  </si>
  <si>
    <t>Líder</t>
  </si>
  <si>
    <t>Cargo</t>
  </si>
  <si>
    <t>Familia de cargo</t>
  </si>
  <si>
    <t>¿A quién reemplaza?</t>
  </si>
  <si>
    <t>Status 23 marzo</t>
  </si>
  <si>
    <t>TTF</t>
  </si>
  <si>
    <t>Comentarios</t>
  </si>
  <si>
    <t>Nombre candidato seleccionado</t>
  </si>
  <si>
    <t>Tipo de Movimiento</t>
  </si>
  <si>
    <t>Fecha Ingreso</t>
  </si>
  <si>
    <t>Fecha Inicio Búsqueda</t>
  </si>
  <si>
    <t>Fecha Cubierta Búsqueda</t>
  </si>
  <si>
    <t>Ceco</t>
  </si>
  <si>
    <t>Forecast</t>
  </si>
  <si>
    <t>Banda</t>
  </si>
  <si>
    <t>Josefina Jordan</t>
  </si>
  <si>
    <t>Ricardo Awad/ Roberto Jimenez</t>
  </si>
  <si>
    <t>Gestor de Contratos (Confidencial)</t>
  </si>
  <si>
    <t xml:space="preserve">Carla Guerrero </t>
  </si>
  <si>
    <t>Si</t>
  </si>
  <si>
    <t>Jesús Fernández</t>
  </si>
  <si>
    <t>Jefe Comercial Media</t>
  </si>
  <si>
    <t>Sebastián Farias</t>
  </si>
  <si>
    <t>Jorge Meza</t>
  </si>
  <si>
    <t>Nexus</t>
  </si>
  <si>
    <t>No - Nexus</t>
  </si>
  <si>
    <t>Tomás Neumann</t>
  </si>
  <si>
    <t>Jefe Comercial Autoplaza</t>
  </si>
  <si>
    <t>Pedro Carcuro</t>
  </si>
  <si>
    <t>Javier Vallejos</t>
  </si>
  <si>
    <t>No aplica</t>
  </si>
  <si>
    <t>Quieren Ofertar a Daniela Reyes.(Entrevistadores: pancho martinez, jesus fernandez, ramiro, TA). Indefinido o plazo fijo.</t>
  </si>
  <si>
    <t>Coordinador de Campañas</t>
  </si>
  <si>
    <t>Felipe Hurtado</t>
  </si>
  <si>
    <t>Francisca Rosas Morales</t>
  </si>
  <si>
    <t>Sofia Sinay</t>
  </si>
  <si>
    <t>Eduardo Mancilla</t>
  </si>
  <si>
    <t xml:space="preserve">Coordinadora Planificación Comercial </t>
  </si>
  <si>
    <t>Ninoska Araneda</t>
  </si>
  <si>
    <t>Romina Mercado</t>
  </si>
  <si>
    <t>Jefe de Digitalización Comercial (confidencial)</t>
  </si>
  <si>
    <t>Hemos entrevistados varias candidatas, pero estamos revisando la posibilidad de traer a Valeria Keller Interna desde TI. Vamos a dejar en SB la vacante hasta revisar bien la estructura del equipo de Romina con Carlos Honorato.</t>
  </si>
  <si>
    <t>Francisca Rodriguez/ The Hunting</t>
  </si>
  <si>
    <t>Pilar Barriga</t>
  </si>
  <si>
    <t>Director de Marca</t>
  </si>
  <si>
    <t>Estamos revisando candidatos con Consultora the hunting, tenemos a Valentina Canepa que nos gusta mucho en proceso de entrevista final con Carlos Honorato la semana del 23 de Marzo.</t>
  </si>
  <si>
    <t>Pendiente</t>
  </si>
  <si>
    <t>Director de Planeamiento y Control de Gestión de Marketing</t>
  </si>
  <si>
    <t>Estamos revisando candidatos con la Consultora the hunting. Hoy estamos viendo la posibilidad de promover a Carlos Esteban.</t>
  </si>
  <si>
    <t>Jacinta Guzman</t>
  </si>
  <si>
    <t>Proyectos y Construcción</t>
  </si>
  <si>
    <t>Victor Pozo</t>
  </si>
  <si>
    <t>Administrador de Proyecto (confidencial)</t>
  </si>
  <si>
    <t xml:space="preserve">Katherina Veliz </t>
  </si>
  <si>
    <t>3 candidatos en proceso de entrevista por TA.</t>
  </si>
  <si>
    <t>Daniela Arancibia</t>
  </si>
  <si>
    <t>Antonia Rodríguez</t>
  </si>
  <si>
    <t>Pablo Ramos</t>
  </si>
  <si>
    <t>Ejecutivo Operacion Tiendas</t>
  </si>
  <si>
    <t>Especialista/ Profesional</t>
  </si>
  <si>
    <t>Cristopher Swet</t>
  </si>
  <si>
    <t>Julio Santos</t>
  </si>
  <si>
    <t>GTO COM. PERSONAL DIRECTO MP OESTE-921101651</t>
  </si>
  <si>
    <t>Felipe Alfaro</t>
  </si>
  <si>
    <t>Asistente de Mall</t>
  </si>
  <si>
    <t>Ariel Paillaqueo</t>
  </si>
  <si>
    <t>Sebastian Navea</t>
  </si>
  <si>
    <t>GTO COM. PERSONAL DIRECTO MP CALAMA-921203651</t>
  </si>
  <si>
    <t>Daniela Levill</t>
  </si>
  <si>
    <t>EJECUTIVA</t>
  </si>
  <si>
    <t>Marcela Rojas</t>
  </si>
  <si>
    <t>Subgerente Mall Tobalaba</t>
  </si>
  <si>
    <t>Raul Perez</t>
  </si>
  <si>
    <t>GTO COM. PERSONAL DIRECTO MP TOBALABA-924004651</t>
  </si>
  <si>
    <t>Ivana Paez</t>
  </si>
  <si>
    <t xml:space="preserve">Subgerente Mall </t>
  </si>
  <si>
    <t>Marcela Leiva</t>
  </si>
  <si>
    <t>Karen Standen</t>
  </si>
  <si>
    <t>GTO COM. PERSONAL DIRECTO MP NORTE-921102651</t>
  </si>
  <si>
    <t>Gabriela Aninat</t>
  </si>
  <si>
    <t>Olaya FLores</t>
  </si>
  <si>
    <t>Barbara Lazo</t>
  </si>
  <si>
    <t>GTO COM. PERSONAL DIRECTO MP EGAÑA-924008651</t>
  </si>
  <si>
    <t>Cindy Gaete</t>
  </si>
  <si>
    <t>Ejecutivo Clientes</t>
  </si>
  <si>
    <t>Tecnico/ Vendedor</t>
  </si>
  <si>
    <t>Alvaro Aedo</t>
  </si>
  <si>
    <t>Ana Cabrera</t>
  </si>
  <si>
    <t>Mauricio Sepulveda</t>
  </si>
  <si>
    <t>Florencia Riveros</t>
  </si>
  <si>
    <t>GTO COM. PERSONAL DIRECTO MP ANTOFAGASTA-921501651</t>
  </si>
  <si>
    <t>Josefina Larraín</t>
  </si>
  <si>
    <t>Maria Gracia</t>
  </si>
  <si>
    <t>Jefe Sustentabilidad</t>
  </si>
  <si>
    <t>Maria Jose Arancibia</t>
  </si>
  <si>
    <t>Valentina Flores</t>
  </si>
  <si>
    <t>PREVENCION DE RIESGOS Y SUSTENTABILIDAD-8901914</t>
  </si>
  <si>
    <t>Coordinador de Obras de Construcción</t>
  </si>
  <si>
    <t>Michael gonzales</t>
  </si>
  <si>
    <t>Michael Martinez</t>
  </si>
  <si>
    <t>Edgardo Cavada</t>
  </si>
  <si>
    <t>Franko Diaz</t>
  </si>
  <si>
    <t>Gabriela Garstaman</t>
  </si>
  <si>
    <t>Javier Mardones</t>
  </si>
  <si>
    <t>Nicolas Andrade</t>
  </si>
  <si>
    <t>GTO COM. PERSONAL DIRECTO MP SUR-924006651</t>
  </si>
  <si>
    <t>Pacual Prado</t>
  </si>
  <si>
    <t>Paisajista</t>
  </si>
  <si>
    <t>Belen Montoya</t>
  </si>
  <si>
    <t>Se cerró internamente con bonos</t>
  </si>
  <si>
    <t>Javiera Hernandez</t>
  </si>
  <si>
    <t>CONTINUIDAD OPERATIVA-8901917</t>
  </si>
  <si>
    <t>Melany Diaz</t>
  </si>
  <si>
    <t>Irene Alvarez</t>
  </si>
  <si>
    <t>Maria Jesus Lagos</t>
  </si>
  <si>
    <t>Mauricio Vargas</t>
  </si>
  <si>
    <t>Jefe Zonal de Operacion</t>
  </si>
  <si>
    <t>Christian Martinez</t>
  </si>
  <si>
    <t>Luis Castillo</t>
  </si>
  <si>
    <t>Controller Cumplimiento Ambiental</t>
  </si>
  <si>
    <t>Denise Tijoux</t>
  </si>
  <si>
    <t>Camila Rivas</t>
  </si>
  <si>
    <t>Matias Larrain</t>
  </si>
  <si>
    <t>Ejecutivo Operacion Tiendas (confidencial)</t>
  </si>
  <si>
    <t>Valentina Carcamo</t>
  </si>
  <si>
    <t>GTO COM. PERSONAL DIRECTO MP LOS DOMINICOS-924010651</t>
  </si>
  <si>
    <t>Pablo Berndt</t>
  </si>
  <si>
    <t>Mauricio Alvarez</t>
  </si>
  <si>
    <t>Jonattan Pereira</t>
  </si>
  <si>
    <t>GTO COM. PERSONAL DIRECTO MP TREBOL-921201651</t>
  </si>
  <si>
    <t>Tecnico en Prevención</t>
  </si>
  <si>
    <t>-</t>
  </si>
  <si>
    <t>Javiera Orellana</t>
  </si>
  <si>
    <t>GTO COM. PERSONAL DIRECTO MP VESPUCIO-921603651</t>
  </si>
  <si>
    <t>Brunilda Gilardoni</t>
  </si>
  <si>
    <t>Paulina Estrada</t>
  </si>
  <si>
    <t>GTO COM. PERSONAL DIRECTO MP LOS ANGELES-921202651</t>
  </si>
  <si>
    <t>Francisca Rosas</t>
  </si>
  <si>
    <t>Maria Ignacia Canales</t>
  </si>
  <si>
    <t>Alfonso Adrover</t>
  </si>
  <si>
    <t>Camila Miranda</t>
  </si>
  <si>
    <t>Edgardo Carrasco</t>
  </si>
  <si>
    <t>Trinidad Paz</t>
  </si>
  <si>
    <t>Francisco Eskenazi</t>
  </si>
  <si>
    <t>Maira Ipinza</t>
  </si>
  <si>
    <t>Nahomi D’Angelo Harvey</t>
  </si>
  <si>
    <t>GTO COM. PERSONAL DIRECTO MP IQUIQUE-926111651</t>
  </si>
  <si>
    <t>Jefe Operaciones Comerciales</t>
  </si>
  <si>
    <t>Jorge Chavez</t>
  </si>
  <si>
    <t>Movimiento Interno</t>
  </si>
  <si>
    <t>Patricia Gonzalez</t>
  </si>
  <si>
    <t>Paz Soto</t>
  </si>
  <si>
    <t>Valentina Godas</t>
  </si>
  <si>
    <t xml:space="preserve">Gerencia de Estregia y Performance </t>
  </si>
  <si>
    <t>Carolina Brahm</t>
  </si>
  <si>
    <t>Analista Control De Gestion</t>
  </si>
  <si>
    <t>Martin Seguel</t>
  </si>
  <si>
    <t xml:space="preserve">Nelson candidato interno / ya tenemos carta oferta falta enviarsela a Jose Jordan </t>
  </si>
  <si>
    <t xml:space="preserve">Néstor Huenchunao </t>
  </si>
  <si>
    <t>ANALISIS DE NEGOCIO-8901212</t>
  </si>
  <si>
    <t>Maria Isabel Abarca</t>
  </si>
  <si>
    <t>Maria Escobar</t>
  </si>
  <si>
    <t>Andre Delaveau</t>
  </si>
  <si>
    <t>Ejecutivo Revisor de Especialidades</t>
  </si>
  <si>
    <t>Miguel Ramirez</t>
  </si>
  <si>
    <t>ADMINISTRACION DE CENTROS COMERCIALES-8901918</t>
  </si>
  <si>
    <t>Cecilia Diaz</t>
  </si>
  <si>
    <t>Pia Delgado</t>
  </si>
  <si>
    <t>Alexandra Moreno</t>
  </si>
  <si>
    <t>GTO COM. PERSONAL DIRECTO MP ARICA-924011651</t>
  </si>
  <si>
    <t>Maria Esperanza</t>
  </si>
  <si>
    <t>Camilo Gonzalez</t>
  </si>
  <si>
    <t>Giovanni Fernandez</t>
  </si>
  <si>
    <t>GTO COM. PERSONAL DIRECTO MP ALAMEDA-924005651</t>
  </si>
  <si>
    <t>Cesar Villouta</t>
  </si>
  <si>
    <t>Nataly Delgado</t>
  </si>
  <si>
    <t>Casi listo con un referido</t>
  </si>
  <si>
    <t>Daniela Acuña</t>
  </si>
  <si>
    <t>GTO COM. PERSONAL DIRECTO MP MIRADOR BIO BIO-924007651</t>
  </si>
  <si>
    <t>Mariana Lasalle</t>
  </si>
  <si>
    <t>Mauricio Etcheverry</t>
  </si>
  <si>
    <t>Harta postulación, comienza selección de terna</t>
  </si>
  <si>
    <t>GTO COM. PERSONAL DIRECTO MP LA SERENA-921204651</t>
  </si>
  <si>
    <t>Lienchen Friz</t>
  </si>
  <si>
    <t>2 Candidatas en proceso de entrevista (entrevistas 09-10/02)</t>
  </si>
  <si>
    <t>Mauricio Maldonado</t>
  </si>
  <si>
    <t>Prevencionista de Riesgos</t>
  </si>
  <si>
    <t>Joel Osses</t>
  </si>
  <si>
    <t>13 postulaciones. pero nada bueno</t>
  </si>
  <si>
    <t>Sergio Carvajal Alvarado</t>
  </si>
  <si>
    <t>GTO COM. PERSONAL DIRECTO MP COPIAPO-924009651</t>
  </si>
  <si>
    <t>Fernanda Rojas</t>
  </si>
  <si>
    <t xml:space="preserve">2 candidatos que van a ser evaluados mañana 06-02. Uno es interno que esta terminando reemplazo y el otro externo. </t>
  </si>
  <si>
    <t xml:space="preserve">Betsabet Carrasco </t>
  </si>
  <si>
    <t xml:space="preserve">Adrian Hernandez </t>
  </si>
  <si>
    <t>Data Engineer</t>
  </si>
  <si>
    <t>Felipe Cortés</t>
  </si>
  <si>
    <t xml:space="preserve">09-02-2026 reunión con adrian, parte proceso de cero, se cae por contraoferta. Hoy jueves 12 envia mas cv. Modalidad de trabajo y renta (revisar modalidad para tecnología) Se cae candidato. Ver con adrian los proximos cv que envio el 10-03. Esta participando cesar araya en el proceso, han rechazado 2 CO en este proceso. Cesar va a entrevistar nuevos candidatos el lunes/Martes/Miercoles. </t>
  </si>
  <si>
    <t>2.8</t>
  </si>
  <si>
    <t xml:space="preserve">Felipe Nuñez </t>
  </si>
  <si>
    <t xml:space="preserve">Jefe de Proyecto </t>
  </si>
  <si>
    <t xml:space="preserve">Leonardo Fernandez </t>
  </si>
  <si>
    <t xml:space="preserve">Gustavo Rubio </t>
  </si>
  <si>
    <t>Alejandro Peraza (Por Ahora)</t>
  </si>
  <si>
    <t xml:space="preserve">Arquitecto Sap * Hana </t>
  </si>
  <si>
    <t xml:space="preserve">Posición nueva </t>
  </si>
  <si>
    <t xml:space="preserve">jhony muñoz el viernes, esta a espera de feeback de la entrevista. </t>
  </si>
  <si>
    <t xml:space="preserve">Gabriela </t>
  </si>
  <si>
    <t>Andrea Casas</t>
  </si>
  <si>
    <t>Jefe FICO</t>
  </si>
  <si>
    <t xml:space="preserve">Gleeny Colmenares </t>
  </si>
  <si>
    <t xml:space="preserve">Proceso se abre nuevamente. </t>
  </si>
  <si>
    <t>No</t>
  </si>
  <si>
    <t xml:space="preserve">Javiera Nuñez </t>
  </si>
  <si>
    <t xml:space="preserve">Javier Alarcón </t>
  </si>
  <si>
    <t xml:space="preserve">Senior Data Architect </t>
  </si>
  <si>
    <t xml:space="preserve">Iván Carrizo </t>
  </si>
  <si>
    <t xml:space="preserve">Javier Alarcón no a contestado por cv enviados hace mas de 2 semanas. Revisar que pasa con el proceso. </t>
  </si>
  <si>
    <t xml:space="preserve">Josefine Jordan </t>
  </si>
  <si>
    <t xml:space="preserve">Alejandro Peraza </t>
  </si>
  <si>
    <t xml:space="preserve">Lider de Ambientes Sap </t>
  </si>
  <si>
    <t xml:space="preserve">entre miercoles 11 y jueves 12 en entrevista con alejandro peraza. Eduardo azocar y wilmer figueroa </t>
  </si>
  <si>
    <t>Alejandro Peraza</t>
  </si>
  <si>
    <t>Technical Lead Sap</t>
  </si>
  <si>
    <t>Finalista estaba listo y se bajo el candidato dado que Andrea se bajo</t>
  </si>
  <si>
    <t>No * es sap?</t>
  </si>
  <si>
    <t>4-4,5</t>
  </si>
  <si>
    <t xml:space="preserve">Josefina Jordan </t>
  </si>
  <si>
    <t xml:space="preserve">M Pia Herrera </t>
  </si>
  <si>
    <t xml:space="preserve">Analista de Cumplimiento </t>
  </si>
  <si>
    <t xml:space="preserve">Confidencial </t>
  </si>
  <si>
    <t xml:space="preserve">Carolina Henriquez  </t>
  </si>
  <si>
    <t xml:space="preserve">Analista Control de Gestión </t>
  </si>
  <si>
    <t>Karen Sepulveda</t>
  </si>
  <si>
    <t xml:space="preserve">Matias Ramos / ver opción de 50 mil pesos mas. </t>
  </si>
  <si>
    <t xml:space="preserve">Matias Ramos / ver opcion de 2.4 </t>
  </si>
  <si>
    <t xml:space="preserve">Francisca Rodriguez </t>
  </si>
  <si>
    <t xml:space="preserve">Gonzalo Estay y Paula Jara </t>
  </si>
  <si>
    <t>Gerente de Proyecto SAP</t>
  </si>
  <si>
    <t xml:space="preserve">Top Management </t>
  </si>
  <si>
    <t xml:space="preserve">Iván es el candidato preseleccionado, ya fue entrevistado por Gonzalo, Paula y Derek. Jueves pm entrevista M Jesus Jimenez para ver si cerrar con el. </t>
  </si>
  <si>
    <t xml:space="preserve">Nicolás Ruiz </t>
  </si>
  <si>
    <t xml:space="preserve">Jefe de Inversiones </t>
  </si>
  <si>
    <t>Nicolas Ruiz</t>
  </si>
  <si>
    <t xml:space="preserve">Tomas Villalobos </t>
  </si>
  <si>
    <t>KF</t>
  </si>
  <si>
    <t xml:space="preserve">M Pía Herrera </t>
  </si>
  <si>
    <t xml:space="preserve">Subgerente de Riesgo </t>
  </si>
  <si>
    <t xml:space="preserve">Juliane Guanaes </t>
  </si>
  <si>
    <t xml:space="preserve">Pablo fue ofertado hoy 03-02-2026 a espera de respuesta del candidato. Pasa a ser Director de Riesgo reportando a Hernán Silva </t>
  </si>
  <si>
    <t xml:space="preserve">Pablo Pereira </t>
  </si>
  <si>
    <t>Betzabet Carrasco</t>
  </si>
  <si>
    <t xml:space="preserve">Tech Lead </t>
  </si>
  <si>
    <t xml:space="preserve">Posición Nueva </t>
  </si>
  <si>
    <t xml:space="preserve">Primero entrevista técnica, y luego betzabet, 3 personas en entrevista. </t>
  </si>
  <si>
    <t xml:space="preserve">3,5 -3,7 </t>
  </si>
  <si>
    <t xml:space="preserve">viene de falabella inmobiliario </t>
  </si>
  <si>
    <t>Italo gonzalez 1.8</t>
  </si>
  <si>
    <t>Margarita Araneda</t>
  </si>
  <si>
    <t>Daniel Bravo</t>
  </si>
  <si>
    <t>Director de Construcción - Concepción</t>
  </si>
  <si>
    <t>Maximino Barra</t>
  </si>
  <si>
    <t>Director de Construcción - Santiago</t>
  </si>
  <si>
    <t>Jaime Bastias</t>
  </si>
  <si>
    <t>Francisca Rodriguez</t>
  </si>
  <si>
    <t>Director de Construcción Chile</t>
  </si>
  <si>
    <t>Revisando nuevos candidatos.</t>
  </si>
  <si>
    <t>Gerencia de Expansión Brownfield y Grandes Superficies</t>
  </si>
  <si>
    <t>Juan Pablo Almazora</t>
  </si>
  <si>
    <t>Jefe Gestión Permisos y Gestión Vial</t>
  </si>
  <si>
    <t>Nueva Vacante</t>
  </si>
  <si>
    <t>Proceso de Entrevista desde TA.</t>
  </si>
  <si>
    <t>Renan Quispe</t>
  </si>
  <si>
    <t>Gerencia Comercial Perú</t>
  </si>
  <si>
    <t>Kristine Plenge</t>
  </si>
  <si>
    <t>Practicante Profesional</t>
  </si>
  <si>
    <t>Pablo del Aguila</t>
  </si>
  <si>
    <t>Stefany Abregú</t>
  </si>
  <si>
    <t>P701930</t>
  </si>
  <si>
    <t>Anggela Pérez</t>
  </si>
  <si>
    <t>Angela Segami</t>
  </si>
  <si>
    <t>Andres Farro</t>
  </si>
  <si>
    <t>Ejecutivo Operacion Tienda</t>
  </si>
  <si>
    <t>Katherine Ordaya</t>
  </si>
  <si>
    <t>Pasa de OP Atocongo a Mallplaza Angamos</t>
  </si>
  <si>
    <t>Carla Franco</t>
  </si>
  <si>
    <t>92P607651</t>
  </si>
  <si>
    <t>Brissa Pósito</t>
  </si>
  <si>
    <t>Cesli Carhuamaca</t>
  </si>
  <si>
    <t>Ximena Zavala</t>
  </si>
  <si>
    <t>92P608651</t>
  </si>
  <si>
    <t>Daniella Matta</t>
  </si>
  <si>
    <t>Andrea Luna</t>
  </si>
  <si>
    <t>Ejecutivo Comercial Jr.</t>
  </si>
  <si>
    <t>Paola Juarez</t>
  </si>
  <si>
    <t>Fátima Paredes</t>
  </si>
  <si>
    <t>Irwin Paulino</t>
  </si>
  <si>
    <t>Gerencia Regional de Tecnología</t>
  </si>
  <si>
    <t>Lucianne Giha</t>
  </si>
  <si>
    <t>Andrea Miraval</t>
  </si>
  <si>
    <t>P701984</t>
  </si>
  <si>
    <t>Giancarlo Centomini</t>
  </si>
  <si>
    <t>Ejecutivo de Clientes y Marketing</t>
  </si>
  <si>
    <t>Pamela Murguia</t>
  </si>
  <si>
    <t>Bryan Tapia</t>
  </si>
  <si>
    <t>92P106651</t>
  </si>
  <si>
    <t>Fernanda Armas</t>
  </si>
  <si>
    <t>Alvaro Sanchez</t>
  </si>
  <si>
    <t>Analista de Gestión de Proyectos</t>
  </si>
  <si>
    <t>Cristian Serrano</t>
  </si>
  <si>
    <t>Movimiento intercompany: Sodimac a Mallplaza</t>
  </si>
  <si>
    <t>Francesca Knox</t>
  </si>
  <si>
    <t>P701956</t>
  </si>
  <si>
    <t>Gabriela Vera Tudela</t>
  </si>
  <si>
    <t>Ejecutivo Comercial Senior (confidencial)</t>
  </si>
  <si>
    <t>Ana Paula Nomberto</t>
  </si>
  <si>
    <t>Ejecutivo Comercial (confidencial)</t>
  </si>
  <si>
    <t>Lusiane Wetzell</t>
  </si>
  <si>
    <t>Crecimiento Interno</t>
  </si>
  <si>
    <t>Joaquín Zegarra</t>
  </si>
  <si>
    <t>Denisse Guarniz</t>
  </si>
  <si>
    <t>Sergio Chamochumbi</t>
  </si>
  <si>
    <t>Director de Mall</t>
  </si>
  <si>
    <t>Renzo Moreno</t>
  </si>
  <si>
    <t>Pilar Arellano</t>
  </si>
  <si>
    <t>Adminsitrador de Centro Comercial</t>
  </si>
  <si>
    <t>Cinthia García</t>
  </si>
  <si>
    <t>92P609651</t>
  </si>
  <si>
    <t>Paul Alvia</t>
  </si>
  <si>
    <t>92P603651</t>
  </si>
  <si>
    <t>Jefe de Prevención (confidencial)</t>
  </si>
  <si>
    <t>Eva Velasquez</t>
  </si>
  <si>
    <t>P701911</t>
  </si>
  <si>
    <t>Coordinador de Energía (confiendencial)</t>
  </si>
  <si>
    <t>Fernando Peregrino</t>
  </si>
  <si>
    <t>Maria Grazia Mogrovejo</t>
  </si>
  <si>
    <t>Carol Aspilcueta</t>
  </si>
  <si>
    <t>P701917</t>
  </si>
  <si>
    <t>Gerencia de Administración</t>
  </si>
  <si>
    <t>Jose Cabanillas</t>
  </si>
  <si>
    <t>Analista de Cobranzas</t>
  </si>
  <si>
    <t>Karol Gordillo</t>
  </si>
  <si>
    <t>Marco Kina</t>
  </si>
  <si>
    <t>P701958</t>
  </si>
  <si>
    <t>Paula Beltran</t>
  </si>
  <si>
    <t>Analista de Control de Gestion</t>
  </si>
  <si>
    <t>Clyde Farias</t>
  </si>
  <si>
    <t>Karolina Rojas</t>
  </si>
  <si>
    <t>Beatriz Castro</t>
  </si>
  <si>
    <t>Pasa de MP Arequipa a MP Angamos</t>
  </si>
  <si>
    <t>Mirella Alvarez</t>
  </si>
  <si>
    <t>Director de Proyectos</t>
  </si>
  <si>
    <t>Reemplazo Confidencial</t>
  </si>
  <si>
    <t>Carlos Arimana</t>
  </si>
  <si>
    <t>No sé</t>
  </si>
  <si>
    <t>Leidy Lorena González</t>
  </si>
  <si>
    <t xml:space="preserve">Gerencia Divisional Chile y Colombia </t>
  </si>
  <si>
    <t>Marcela Galindo</t>
  </si>
  <si>
    <t>Ejecutiva Espacios Publicitarios</t>
  </si>
  <si>
    <t>Camila Lora</t>
  </si>
  <si>
    <t>Ingreso</t>
  </si>
  <si>
    <t>Valeria Esquivel</t>
  </si>
  <si>
    <t>C509930</t>
  </si>
  <si>
    <t>SI</t>
  </si>
  <si>
    <t>Subgerencia Mallplaza Manizales</t>
  </si>
  <si>
    <t>Ejecutiva de Ventas MNZ</t>
  </si>
  <si>
    <t>N/A</t>
  </si>
  <si>
    <t>Nayat Sabbagh</t>
  </si>
  <si>
    <t>92C631651</t>
  </si>
  <si>
    <t xml:space="preserve">Proyectos y Construcción </t>
  </si>
  <si>
    <t>Director de Construcción La Serena</t>
  </si>
  <si>
    <t>Edison Belmar</t>
  </si>
  <si>
    <t>Marketing y Experience</t>
  </si>
  <si>
    <t>Maria Francisca Guerra</t>
  </si>
  <si>
    <t>Jefe de Marketing Chile</t>
  </si>
  <si>
    <t>Doriana Alcalá</t>
  </si>
  <si>
    <t>Josefina Jordán</t>
  </si>
  <si>
    <t>Personas</t>
  </si>
  <si>
    <t>Leonardo Valiente</t>
  </si>
  <si>
    <t>Analista Control de Nómina y Procesos</t>
  </si>
  <si>
    <t>Javiera Reyes</t>
  </si>
  <si>
    <t>Bruno Labbe</t>
  </si>
  <si>
    <t>Director de Proyectos - Piura</t>
  </si>
  <si>
    <t>Nueva vacante</t>
  </si>
  <si>
    <t>Jorge Ordinola</t>
  </si>
  <si>
    <t>Lina Casas</t>
  </si>
  <si>
    <t>Proyectos y Construcciones</t>
  </si>
  <si>
    <t>Lider de Arquitectura- Reemplazp Licencia Materna</t>
  </si>
  <si>
    <t>Maria Nova</t>
  </si>
  <si>
    <t>Andres Borda</t>
  </si>
  <si>
    <t>C509990</t>
  </si>
  <si>
    <t>Maira Gonzalez</t>
  </si>
  <si>
    <t>Subgerencia Legal Colombia</t>
  </si>
  <si>
    <t>Daniela Gonzalez</t>
  </si>
  <si>
    <t>Practicante Universitario</t>
  </si>
  <si>
    <t>Ana Diaz</t>
  </si>
  <si>
    <t>Sergio Barrios</t>
  </si>
  <si>
    <t>C509955</t>
  </si>
  <si>
    <t>Subgerencia Mallplaza Cali</t>
  </si>
  <si>
    <t>Juan Manuel Rengifo</t>
  </si>
  <si>
    <t>Ejecutiva de Clientes CAL</t>
  </si>
  <si>
    <t>Contratación</t>
  </si>
  <si>
    <t>Sandra Milena Arias</t>
  </si>
  <si>
    <t>92C661651</t>
  </si>
  <si>
    <t>Subgerencia Mallplaza Cartagena</t>
  </si>
  <si>
    <t>Marcela Campo</t>
  </si>
  <si>
    <t>Aprendiz Sena CTG</t>
  </si>
  <si>
    <t>Ana Carlota</t>
  </si>
  <si>
    <t>Viviana Navarro</t>
  </si>
  <si>
    <t>92C621651</t>
  </si>
  <si>
    <t>Product Manager</t>
  </si>
  <si>
    <t>Constanza Ruiz</t>
  </si>
  <si>
    <t>Carta Oerta Pendiente</t>
  </si>
  <si>
    <t>Martin Rivas</t>
  </si>
  <si>
    <t>Francisca Chavez</t>
  </si>
  <si>
    <t>Gabriela Garstman</t>
  </si>
  <si>
    <t>Francisca Aguila</t>
  </si>
  <si>
    <t>Paola Ramirez</t>
  </si>
  <si>
    <t>Maria Cecilia Diaz</t>
  </si>
  <si>
    <t>Pendiente Carta Oferta</t>
  </si>
  <si>
    <t>Claudia Leiva Rojas</t>
  </si>
  <si>
    <t>Tania Guerra</t>
  </si>
  <si>
    <t>Macarena Urrutia</t>
  </si>
  <si>
    <t>Asistente de Gerencia</t>
  </si>
  <si>
    <t>Madelen Tello</t>
  </si>
  <si>
    <t>P701953</t>
  </si>
  <si>
    <t>Director de Construcción Perú</t>
  </si>
  <si>
    <t>Rechaza CO. Revisando sueldo nuevamente y viendo propuesta de assesment.</t>
  </si>
  <si>
    <t>Ricardo Fuertes</t>
  </si>
  <si>
    <t>92P611651</t>
  </si>
  <si>
    <t>Directora de Experiencia</t>
  </si>
  <si>
    <t>Catalina Cruz</t>
  </si>
  <si>
    <t>Cerrada con promoción interna</t>
  </si>
  <si>
    <t>Daniela Back</t>
  </si>
  <si>
    <t>Directora de Marketing Chile</t>
  </si>
  <si>
    <t>Referida de Pilar Barriga.</t>
  </si>
  <si>
    <t xml:space="preserve">Martin Valenzuela </t>
  </si>
  <si>
    <t xml:space="preserve">Jose J entrevista jueves y viernes y les avisa como le va y avanzamos con Fabian. </t>
  </si>
  <si>
    <t>Nestor Huenchunao</t>
  </si>
  <si>
    <t xml:space="preserve">Gerencia de Administración </t>
  </si>
  <si>
    <t xml:space="preserve">Carlos Martinez </t>
  </si>
  <si>
    <t>Analista Aseguramiento de Ingreso</t>
  </si>
  <si>
    <t xml:space="preserve">Scarlett Rios </t>
  </si>
  <si>
    <t xml:space="preserve">terna 1, quiere dejar a uno en veremos. Lunes presencial entrevista segunda terna. </t>
  </si>
  <si>
    <t>Brian PLaza</t>
  </si>
  <si>
    <t>Sofia Fusch</t>
  </si>
  <si>
    <t>Ricardo Awad</t>
  </si>
  <si>
    <t>Subgerente de Brownfield</t>
  </si>
  <si>
    <t>Paloma Cuesta</t>
  </si>
  <si>
    <t>Desarrollo de Nuevos Negocios</t>
  </si>
  <si>
    <t>Consuelo Zuñiga</t>
  </si>
  <si>
    <t>PM</t>
  </si>
  <si>
    <t>Valentina Neuwman</t>
  </si>
  <si>
    <t>Florencia Acosta</t>
  </si>
  <si>
    <t>Isidora Allendes</t>
  </si>
  <si>
    <t>Sebastian Schwerter</t>
  </si>
  <si>
    <t>Subgerente de Exploración</t>
  </si>
  <si>
    <t>1 Candidato e entrevista con Rodrigo Alcalde, y otros en proceso para activar terna final.</t>
  </si>
  <si>
    <t>4 administradores*</t>
  </si>
  <si>
    <t>Director de Lima</t>
  </si>
  <si>
    <t>3 adm peru</t>
  </si>
  <si>
    <t>Cristian Hasenhor</t>
  </si>
  <si>
    <t>Arquitecto</t>
  </si>
  <si>
    <t>En revisión de CV´s</t>
  </si>
  <si>
    <t>Talento y Cultura</t>
  </si>
  <si>
    <t>Andrea Pizarro</t>
  </si>
  <si>
    <t>Jefe de DO</t>
  </si>
  <si>
    <t>En CO - Javiera Abufom / a la espera de respuesta</t>
  </si>
  <si>
    <t>Javiera Abufom</t>
  </si>
  <si>
    <t>Confidencial</t>
  </si>
  <si>
    <t>John Amortegui</t>
  </si>
  <si>
    <t>Aprendiz Sena PROYECTOS</t>
  </si>
  <si>
    <t>Fase final entrevista</t>
  </si>
  <si>
    <t>Gerencia Comercial</t>
  </si>
  <si>
    <t>Laura Morales</t>
  </si>
  <si>
    <t>Analista de Gestion Comercial</t>
  </si>
  <si>
    <t>Alejandro Rios</t>
  </si>
  <si>
    <t>Pruebas</t>
  </si>
  <si>
    <t>Gerencia de Finanzas y Relación con Inversionistas</t>
  </si>
  <si>
    <t>Sebastian Mohr</t>
  </si>
  <si>
    <t xml:space="preserve">Analista de Finanzas </t>
  </si>
  <si>
    <t>Tomas Villalobos</t>
  </si>
  <si>
    <t xml:space="preserve">Felipe Sandoval </t>
  </si>
  <si>
    <t>Analista Financiero</t>
  </si>
  <si>
    <t>Brownfield y Grandes Superficies</t>
  </si>
  <si>
    <t>Subgerente de Brownfield Chile</t>
  </si>
  <si>
    <t>Activando el proceso</t>
  </si>
  <si>
    <t>Jaime Bastiass</t>
  </si>
  <si>
    <t xml:space="preserve">Administrador de Obra </t>
  </si>
  <si>
    <t>Proceso CO a Daniela Sanchez</t>
  </si>
  <si>
    <t>Administrador de Obra La serena</t>
  </si>
  <si>
    <t>Administrador de Obra Oeste</t>
  </si>
  <si>
    <t>Director (confidencial)</t>
  </si>
  <si>
    <t>Cathia Escobar</t>
  </si>
  <si>
    <t>PM Studios</t>
  </si>
  <si>
    <t>Carlos Esteban</t>
  </si>
  <si>
    <t>Administrativo de Pagos y Contratos (confidencial)</t>
  </si>
  <si>
    <t>Pendiente publicación</t>
  </si>
  <si>
    <t>Jefe de Experiencia Clientes</t>
  </si>
  <si>
    <t>Francisca Guerra</t>
  </si>
  <si>
    <t>Jefe de Marketing Pre y postnatal</t>
  </si>
  <si>
    <t>Andrea Jones</t>
  </si>
  <si>
    <t>Publicación ok, en revisión de cv, pendiente contacar referido de fonchi.</t>
  </si>
  <si>
    <t>Coordinador de Prevención Temporal</t>
  </si>
  <si>
    <t>Lizeth Laura</t>
  </si>
  <si>
    <t>Jose Mendoza</t>
  </si>
  <si>
    <t>Practicante de Control de Gestión</t>
  </si>
  <si>
    <t>Jefe Comercial</t>
  </si>
  <si>
    <t>Victor Quispe</t>
  </si>
  <si>
    <t>Practicante de Administración</t>
  </si>
  <si>
    <t>Coordinador de Operaciones</t>
  </si>
  <si>
    <t>Germán Quezada</t>
  </si>
  <si>
    <t>Ingeniero de Procesos Operacionales</t>
  </si>
  <si>
    <t>Jefe de Control Operacional</t>
  </si>
  <si>
    <t>Vanessa Vera</t>
  </si>
  <si>
    <t>CO rechazada. Continúa búsqueda, Se cancela busqueda por que se junta cargo con el jefe de permisos de JP Almazora.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</si>
</sst>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_-[$$-409]* #,##0_ ;_-[$$-409]* \-#,##0\ ;_-[$$-409]* &quot;-&quot;??_ ;_-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2"/>
      <color theme="1"/>
      <name val="Aptos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4" borderId="0" xfId="0" applyFont="1" applyFill="1"/>
    <xf numFmtId="0" fontId="2" fillId="2" borderId="1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0" xfId="0" applyNumberFormat="1"/>
    <xf numFmtId="164" fontId="3" fillId="3" borderId="6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2" fillId="0" borderId="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wrapText="1"/>
    </xf>
    <xf numFmtId="164" fontId="0" fillId="0" borderId="5" xfId="0" applyNumberFormat="1" applyBorder="1"/>
    <xf numFmtId="14" fontId="2" fillId="2" borderId="1" xfId="0" applyNumberFormat="1" applyFont="1" applyFill="1" applyBorder="1" applyAlignment="1">
      <alignment horizontal="center" vertical="center"/>
    </xf>
    <xf numFmtId="0" fontId="6" fillId="7" borderId="0" xfId="0" applyFont="1" applyFill="1"/>
    <xf numFmtId="0" fontId="1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7" xfId="0" applyBorder="1"/>
    <xf numFmtId="0" fontId="0" fillId="4" borderId="5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7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/>
    <xf numFmtId="0" fontId="0" fillId="8" borderId="29" xfId="0" applyFill="1" applyBorder="1"/>
    <xf numFmtId="0" fontId="0" fillId="8" borderId="30" xfId="0" applyFill="1" applyBorder="1"/>
    <xf numFmtId="0" fontId="0" fillId="8" borderId="26" xfId="0" applyFill="1" applyBorder="1"/>
    <xf numFmtId="0" fontId="0" fillId="8" borderId="28" xfId="0" applyFill="1" applyBorder="1"/>
    <xf numFmtId="0" fontId="0" fillId="4" borderId="0" xfId="0" applyFill="1"/>
    <xf numFmtId="0" fontId="1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14" fontId="0" fillId="0" borderId="6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" fontId="0" fillId="0" borderId="9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0" fillId="0" borderId="31" xfId="0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4"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ill>
        <patternFill>
          <bgColor rgb="FF002060"/>
        </patternFill>
      </fill>
    </dxf>
    <dxf>
      <fill>
        <patternFill patternType="solid">
          <bgColor rgb="FF92D050"/>
        </patternFill>
      </fill>
    </dxf>
    <dxf>
      <alignment wrapText="1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d/mm/yyyy;@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dd/mm/yyyy;@"/>
      <alignment horizont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dd/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7.780175810185" createdVersion="8" refreshedVersion="8" minRefreshableVersion="3" recordCount="150" xr:uid="{4F3CD21F-4D50-4D92-8DE1-271485993054}">
  <cacheSource type="worksheet">
    <worksheetSource ref="A1:T1048576" sheet="Detalle Vacantes"/>
  </cacheSource>
  <cacheFields count="20">
    <cacheField name="HRBP" numFmtId="0">
      <sharedItems containsBlank="1" count="6">
        <s v="Maria Jose Carrizo"/>
        <s v="Seba Soto"/>
        <s v="María Jesús Jiménez "/>
        <s v="Patricia Bustamante"/>
        <s v="Laura Camargo"/>
        <m/>
      </sharedItems>
    </cacheField>
    <cacheField name="País" numFmtId="0">
      <sharedItems containsBlank="1" count="4">
        <s v="Chile"/>
        <s v="Perú"/>
        <s v="Colombia"/>
        <m/>
      </sharedItems>
    </cacheField>
    <cacheField name="Coordinador TA Responsable" numFmtId="0">
      <sharedItems containsBlank="1"/>
    </cacheField>
    <cacheField name="Equipo TA" numFmtId="0">
      <sharedItems containsBlank="1"/>
    </cacheField>
    <cacheField name="Gerencia" numFmtId="0">
      <sharedItems containsBlank="1" count="33">
        <s v=" Gerencia de Expansión Brownfield y Grandes Superficies"/>
        <s v=" Dirección Omnichannel &amp; Digital Sales"/>
        <s v="Gerencia Comercial Chile"/>
        <s v="Dirección Omnichannel &amp; Digital Sales"/>
        <s v="Proyectos y Construcción"/>
        <s v="Gerencia Divisional Chile"/>
        <s v="Subgerencia Planificación Comercial"/>
        <s v="Gerencia de Marketing y Experiencia"/>
        <s v="Gerencia de Operaciones"/>
        <s v="Gerencia de Tecnología "/>
        <s v="Proyecto SAP"/>
        <s v="Gerencia Legal "/>
        <s v="Gerencia Estrategia y Performance"/>
        <s v="Gerencia de Estrategia y Performance"/>
        <s v="Gerencia de Expansión Brownfield y Grandes Superficies"/>
        <s v="Gerencia Comercial Perú"/>
        <s v="Gerencia Regional de Tecnología"/>
        <s v="Gerencia de Administración"/>
        <s v="Gerencia Divisional Chile y Colombia "/>
        <s v="Subgerencia Mallplaza Manizales"/>
        <s v="Proyectos y Construcción "/>
        <s v="Marketing y Experience"/>
        <s v="Personas"/>
        <s v="Proyectos y Construcciones"/>
        <s v="Subgerencia Legal Colombia"/>
        <s v="Subgerencia Mallplaza Cali"/>
        <s v="Subgerencia Mallplaza Cartagena"/>
        <m/>
        <s v="Desarrollo de Nuevos Negocios"/>
        <s v="Expansión Brownfield y Grandes Superficies" u="1"/>
        <s v="Gerencia Divisional Chile y Colombia _x000a_" u="1"/>
        <s v="Gerencia de Proyectos y Construcción" u="1"/>
        <s v="Gerencia Proyectos y Construcción" u="1"/>
      </sharedItems>
    </cacheField>
    <cacheField name="Motivo de Busqueda" numFmtId="0">
      <sharedItems containsBlank="1"/>
    </cacheField>
    <cacheField name="Líder" numFmtId="0">
      <sharedItems containsBlank="1"/>
    </cacheField>
    <cacheField name="Cargo" numFmtId="0">
      <sharedItems containsBlank="1"/>
    </cacheField>
    <cacheField name="Familia de cargo" numFmtId="0">
      <sharedItems containsBlank="1"/>
    </cacheField>
    <cacheField name="¿A quién reemplaza?" numFmtId="0">
      <sharedItems containsBlank="1"/>
    </cacheField>
    <cacheField name="Estado" numFmtId="0">
      <sharedItems containsBlank="1" count="5">
        <s v="Activa"/>
        <s v="Cerrada"/>
        <s v="Stand By"/>
        <m/>
        <s v="Cancelada" u="1"/>
      </sharedItems>
    </cacheField>
    <cacheField name="TTF" numFmtId="0">
      <sharedItems containsString="0" containsBlank="1" containsNumber="1" containsInteger="1" minValue="-32842" maxValue="32912"/>
    </cacheField>
    <cacheField name="Comentarios" numFmtId="0">
      <sharedItems containsBlank="1" longText="1"/>
    </cacheField>
    <cacheField name="Nombre candidato seleccionado" numFmtId="0">
      <sharedItems containsBlank="1"/>
    </cacheField>
    <cacheField name="Tipo de Movimiento" numFmtId="0">
      <sharedItems containsBlank="1" count="5">
        <m/>
        <s v="Concurso Interno"/>
        <s v="Búsqueda Externa"/>
        <s v="Promoción"/>
        <s v="Consurso Interno" u="1"/>
      </sharedItems>
      <fieldGroup par="19"/>
    </cacheField>
    <cacheField name="Fecha Ingreso" numFmtId="0">
      <sharedItems containsNonDate="0" containsDate="1" containsString="0" containsBlank="1" minDate="2025-08-20T00:00:00" maxDate="2026-03-03T00:00:00"/>
    </cacheField>
    <cacheField name="Fecha Inicio Búsqueda" numFmtId="0">
      <sharedItems containsNonDate="0" containsDate="1" containsString="0" containsBlank="1" minDate="2025-09-05T00:00:00" maxDate="2026-12-03T00:00:00"/>
    </cacheField>
    <cacheField name="Fecha Cubierta Búsqueda" numFmtId="0">
      <sharedItems containsNonDate="0" containsDate="1" containsString="0" containsBlank="1" minDate="2025-12-22T00:00:00" maxDate="2026-02-14T00:00:00"/>
    </cacheField>
    <cacheField name="Ceco" numFmtId="0">
      <sharedItems containsBlank="1"/>
    </cacheField>
    <cacheField name="Tipo de Movimiento2" numFmtId="0" databaseField="0">
      <fieldGroup base="14">
        <discretePr count="5">
          <x v="0"/>
          <x v="3"/>
          <x v="1"/>
          <x v="3"/>
          <x v="2"/>
        </discretePr>
        <groupItems count="4">
          <m/>
          <s v="Búsqueda Externa"/>
          <s v="Consurso Interno"/>
          <s v="Grupo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Josefina Jordan"/>
    <s v="OVH"/>
    <x v="0"/>
    <s v="Nuevo HC"/>
    <s v="Ricardo Awad/ Roberto Jimenez"/>
    <s v="Gestor de Contratos (Confidencial)"/>
    <s v="Especialista/Profesional"/>
    <s v="Carla Guerrero "/>
    <x v="0"/>
    <n v="31"/>
    <s v="CO rechazada. Continúa búsqueda, "/>
    <m/>
    <x v="0"/>
    <m/>
    <d v="2026-01-13T00:00:00"/>
    <d v="2026-02-13T00:00:00"/>
    <m/>
  </r>
  <r>
    <x v="0"/>
    <x v="0"/>
    <s v="Josefina Jordan"/>
    <s v="OVH"/>
    <x v="1"/>
    <s v="Reemplazo"/>
    <s v="Jesús Fernández"/>
    <s v="Planner Comercial Especialista en Data"/>
    <s v="Especialista/Profesional"/>
    <s v="Maximiliano Cruz"/>
    <x v="0"/>
    <n v="31"/>
    <m/>
    <s v="Martín Seguel"/>
    <x v="1"/>
    <m/>
    <d v="2026-01-13T00:00:00"/>
    <d v="2026-02-13T00:00:00"/>
    <s v="Nexus"/>
  </r>
  <r>
    <x v="0"/>
    <x v="0"/>
    <s v="Josefina Jordan"/>
    <s v="OVH"/>
    <x v="1"/>
    <s v="Reemplazo"/>
    <s v="Jesús Fernández"/>
    <s v="Jefe Comercial Media"/>
    <s v="Junior Management"/>
    <s v="Sebastián Farias"/>
    <x v="1"/>
    <n v="0"/>
    <m/>
    <s v="Jorge Meza"/>
    <x v="1"/>
    <d v="2026-02-01T00:00:00"/>
    <m/>
    <m/>
    <s v="Nexus"/>
  </r>
  <r>
    <x v="0"/>
    <x v="0"/>
    <s v="Josefina Jordan"/>
    <s v="OVH"/>
    <x v="2"/>
    <s v="Reemplazo"/>
    <s v="Tomás Neumann"/>
    <s v="Jefe Comercial Autoplaza"/>
    <s v="Junior Management"/>
    <s v="Pedro Carcuro"/>
    <x v="1"/>
    <n v="0"/>
    <m/>
    <s v="Javier Vallejos"/>
    <x v="0"/>
    <m/>
    <m/>
    <m/>
    <m/>
  </r>
  <r>
    <x v="0"/>
    <x v="0"/>
    <s v="Josefina Jordan"/>
    <s v="OVH"/>
    <x v="3"/>
    <s v="Nuevo HC"/>
    <s v="Jesús Fernández"/>
    <s v="Jefe Comercial Media"/>
    <s v="Junior Management"/>
    <s v="No aplica"/>
    <x v="0"/>
    <n v="27"/>
    <s v="Quieren Ofertar a Daniela Reyes.(Entrevistadores: pancho martinez, jesus fernandez, ramiro, TA). Indefinido o plazo fijo."/>
    <m/>
    <x v="0"/>
    <m/>
    <d v="2026-01-18T00:00:00"/>
    <m/>
    <m/>
  </r>
  <r>
    <x v="0"/>
    <x v="0"/>
    <s v="Josefina Jordan"/>
    <s v="OVH"/>
    <x v="3"/>
    <s v="Reemplazo"/>
    <s v="Jesús Fernández"/>
    <s v="Coordinador de Campañas"/>
    <s v="Especialista/Profesional"/>
    <s v="Felipe Hurtado"/>
    <x v="1"/>
    <n v="0"/>
    <m/>
    <s v="Francisca Rosas Morales"/>
    <x v="1"/>
    <m/>
    <m/>
    <m/>
    <m/>
  </r>
  <r>
    <x v="0"/>
    <x v="0"/>
    <s v="María Jesús Lagos"/>
    <s v="OVH"/>
    <x v="4"/>
    <s v="Nuevo HC"/>
    <s v="Daniel Bravo"/>
    <s v="Arquitecto"/>
    <s v="Especialista/Profesional"/>
    <s v="No aplica"/>
    <x v="0"/>
    <n v="9"/>
    <m/>
    <m/>
    <x v="0"/>
    <m/>
    <d v="2026-02-12T00:00:00"/>
    <m/>
    <m/>
  </r>
  <r>
    <x v="0"/>
    <x v="0"/>
    <s v="Sofia Sinay"/>
    <s v="OVH"/>
    <x v="5"/>
    <s v="Nuevo HC"/>
    <s v="Eduardo Mancilla"/>
    <s v="Coordinadora Planificación Comercial "/>
    <s v="Especialista/Profesional"/>
    <s v="No aplica"/>
    <x v="1"/>
    <n v="0"/>
    <m/>
    <s v="Ninoska Araneda"/>
    <x v="1"/>
    <m/>
    <m/>
    <m/>
    <m/>
  </r>
  <r>
    <x v="0"/>
    <x v="0"/>
    <s v="Sofia Sinay"/>
    <s v="OVH"/>
    <x v="6"/>
    <s v="Reemplazo"/>
    <s v="Romina Mercado"/>
    <s v="Jefe de Digitalización Comercial (confidencial)"/>
    <s v="Junior Management"/>
    <s v="Eduardo Mancilla"/>
    <x v="0"/>
    <n v="34"/>
    <s v="Tenemos 2 candidatos entrevista hoy: PM tanner Mujer (mucha personalidad, dispersa/avasalladora?, 8 años trabajando en el gobierno), Hombre técnicamente bueno, metido en el producto (le puede faltar visión), falta la parte comercial)... La favorita esta tratando de coordinar entrevista - no sabemos si esta interesada realmente."/>
    <m/>
    <x v="0"/>
    <m/>
    <d v="2026-01-08T00:00:00"/>
    <m/>
    <m/>
  </r>
  <r>
    <x v="0"/>
    <x v="0"/>
    <s v="Francisca Rodriguez/ The Hunting"/>
    <s v="Ejecutivo"/>
    <x v="7"/>
    <s v="Reemplazo"/>
    <s v="Pilar Barriga"/>
    <s v="Director de Marca"/>
    <s v="Middle Management"/>
    <s v="No aplica"/>
    <x v="0"/>
    <n v="37"/>
    <m/>
    <m/>
    <x v="0"/>
    <m/>
    <d v="2026-01-05T00:00:00"/>
    <m/>
    <m/>
  </r>
  <r>
    <x v="0"/>
    <x v="0"/>
    <s v="Francisca Rodriguez/ The Hunting"/>
    <s v="Ejecutivo"/>
    <x v="7"/>
    <s v="Nuevo HC"/>
    <s v="Pilar Barriga"/>
    <s v="Director de Planeamiento y Control de Gestión de Marketing"/>
    <s v="Middle Management"/>
    <s v="No aplica"/>
    <x v="0"/>
    <n v="42"/>
    <m/>
    <m/>
    <x v="0"/>
    <m/>
    <d v="2025-12-29T00:00:00"/>
    <m/>
    <m/>
  </r>
  <r>
    <x v="0"/>
    <x v="0"/>
    <s v="Jacinta Guzman"/>
    <s v="OVH"/>
    <x v="4"/>
    <s v="Reemplazo"/>
    <s v="Victor Pozo"/>
    <s v="Administrador de Proyecto (confidencial)"/>
    <s v="Especialista/Profesional"/>
    <s v="Katherina Veliz "/>
    <x v="0"/>
    <n v="23"/>
    <s v="3 candidatos en proceso de entrevista por TA."/>
    <m/>
    <x v="0"/>
    <m/>
    <d v="2026-01-23T00:00:00"/>
    <m/>
    <m/>
  </r>
  <r>
    <x v="0"/>
    <x v="0"/>
    <s v="Jacinta Guzman"/>
    <s v="OVH"/>
    <x v="4"/>
    <s v="Reemplazo"/>
    <s v="Victor Pozo"/>
    <s v="Administrador de Proyecto (confidencial)"/>
    <s v="Especialista/Profesional"/>
    <s v="Daniela Arancibia"/>
    <x v="0"/>
    <n v="23"/>
    <m/>
    <m/>
    <x v="0"/>
    <m/>
    <d v="2026-01-23T00:00:00"/>
    <m/>
    <m/>
  </r>
  <r>
    <x v="1"/>
    <x v="0"/>
    <s v="Antonia Rodríguez"/>
    <s v="OVH"/>
    <x v="8"/>
    <s v="Reemplazo"/>
    <s v="Pablo Ramos"/>
    <s v="Ejecutivo Operacion Tiendas"/>
    <s v="Especialista/ Profesional"/>
    <s v="Cristopher Swet"/>
    <x v="1"/>
    <n v="0"/>
    <m/>
    <s v="Julio Santos"/>
    <x v="0"/>
    <d v="2025-11-17T00:00:00"/>
    <m/>
    <m/>
    <s v="GTO COM. PERSONAL DIRECTO MP OESTE-921101651"/>
  </r>
  <r>
    <x v="1"/>
    <x v="0"/>
    <s v="Antonia Rodríguez"/>
    <s v="OVH"/>
    <x v="8"/>
    <s v="Reemplazo"/>
    <s v="Felipe Alfaro"/>
    <s v="Asistente de Mall"/>
    <s v="Administrativo"/>
    <s v="Ariel Paillaqueo"/>
    <x v="1"/>
    <n v="0"/>
    <m/>
    <s v="Sebastian Navea"/>
    <x v="0"/>
    <d v="2025-12-01T00:00:00"/>
    <m/>
    <m/>
    <s v="GTO COM. PERSONAL DIRECTO MP CALAMA-921203651"/>
  </r>
  <r>
    <x v="1"/>
    <x v="0"/>
    <s v="Daniela Levill"/>
    <s v="EJECUTIVA"/>
    <x v="8"/>
    <s v="Reemplazo"/>
    <s v="Marcela Rojas"/>
    <s v="Subgerente Mall Tobalaba"/>
    <s v="Middle Management"/>
    <s v="Marcela Rojas"/>
    <x v="1"/>
    <n v="0"/>
    <m/>
    <s v="Raul Perez"/>
    <x v="0"/>
    <d v="2026-01-01T00:00:00"/>
    <m/>
    <m/>
    <s v="GTO COM. PERSONAL DIRECTO MP TOBALABA-924004651"/>
  </r>
  <r>
    <x v="1"/>
    <x v="0"/>
    <s v="Daniela Levill"/>
    <s v="EJECUTIVA"/>
    <x v="8"/>
    <s v="Reemplazo"/>
    <s v="Ivana Paez"/>
    <s v="Subgerente Mall "/>
    <s v="Middle Management"/>
    <s v="Marcela Leiva"/>
    <x v="1"/>
    <n v="0"/>
    <m/>
    <s v="Karen Standen"/>
    <x v="0"/>
    <d v="2025-12-01T00:00:00"/>
    <m/>
    <m/>
    <s v="GTO COM. PERSONAL DIRECTO MP NORTE-921102651"/>
  </r>
  <r>
    <x v="1"/>
    <x v="0"/>
    <s v="Antonia Rodríguez"/>
    <s v="OVH"/>
    <x v="8"/>
    <s v="Reemplazo"/>
    <s v="Gabriela Aninat"/>
    <s v="Asistente de Mall"/>
    <s v="Administrativo"/>
    <s v="Olaya FLores"/>
    <x v="1"/>
    <n v="0"/>
    <m/>
    <s v="Barbara Lazo"/>
    <x v="0"/>
    <d v="2025-12-09T00:00:00"/>
    <m/>
    <m/>
    <s v="GTO COM. PERSONAL DIRECTO MP EGAÑA-924008651"/>
  </r>
  <r>
    <x v="1"/>
    <x v="0"/>
    <s v="Antonia Rodríguez"/>
    <s v="OVH"/>
    <x v="8"/>
    <s v="Reemplazo"/>
    <s v="Cindy Gaete"/>
    <s v="Ejecutivo Clientes"/>
    <s v="Tecnico/ Vendedor"/>
    <s v="Alvaro Aedo"/>
    <x v="1"/>
    <n v="33"/>
    <m/>
    <s v="Ana Cabrera"/>
    <x v="0"/>
    <d v="2026-01-19T00:00:00"/>
    <d v="2025-11-19T00:00:00"/>
    <d v="2026-01-04T00:00:00"/>
    <s v="GTO COM. PERSONAL DIRECTO MP NORTE-921102651"/>
  </r>
  <r>
    <x v="1"/>
    <x v="0"/>
    <s v="Antonia Rodríguez"/>
    <s v="OVH"/>
    <x v="8"/>
    <s v="Reemplazo"/>
    <s v="Cindy Gaete"/>
    <s v="Ejecutivo Clientes"/>
    <s v="Tecnico/ Vendedor"/>
    <s v="Mauricio Sepulveda"/>
    <x v="1"/>
    <n v="0"/>
    <m/>
    <s v="Florencia Riveros"/>
    <x v="0"/>
    <d v="2026-01-05T00:00:00"/>
    <m/>
    <m/>
    <s v="GTO COM. PERSONAL DIRECTO MP ANTOFAGASTA-921501651"/>
  </r>
  <r>
    <x v="1"/>
    <x v="0"/>
    <s v="Josefina Larraín"/>
    <s v="OVH"/>
    <x v="8"/>
    <s v="Reemplazo"/>
    <s v="Maria Gracia"/>
    <s v="Jefe Sustentabilidad"/>
    <s v="Junior Management"/>
    <s v="Maria Jose Arancibia"/>
    <x v="1"/>
    <n v="0"/>
    <m/>
    <s v="Valentina Flores"/>
    <x v="0"/>
    <d v="2026-01-05T00:00:00"/>
    <m/>
    <m/>
    <s v="PREVENCION DE RIESGOS Y SUSTENTABILIDAD-8901914"/>
  </r>
  <r>
    <x v="1"/>
    <x v="0"/>
    <s v="Seba Soto"/>
    <s v="OVH"/>
    <x v="8"/>
    <s v="Nuevo HC"/>
    <s v="Maria Gracia"/>
    <s v="Coordinador de Obras de Construcción"/>
    <s v="Especialista/ Profesional"/>
    <s v="Michael gonzales"/>
    <x v="1"/>
    <n v="0"/>
    <m/>
    <s v="Michael Martinez"/>
    <x v="0"/>
    <d v="2025-12-01T00:00:00"/>
    <m/>
    <m/>
    <s v="PREVENCION DE RIESGOS Y SUSTENTABILIDAD-8901914"/>
  </r>
  <r>
    <x v="1"/>
    <x v="0"/>
    <s v="Antonia Rodríguez"/>
    <s v="OVH"/>
    <x v="8"/>
    <s v="Reemplazo"/>
    <s v="Karen Standen"/>
    <s v="Ejecutivo Operacion Tiendas"/>
    <s v="Especialista/ Profesional"/>
    <s v="Edgardo Cavada"/>
    <x v="1"/>
    <n v="0"/>
    <m/>
    <s v="Franko Diaz"/>
    <x v="0"/>
    <d v="2026-01-05T00:00:00"/>
    <m/>
    <m/>
    <s v="GTO COM. PERSONAL DIRECTO MP NORTE-921102651"/>
  </r>
  <r>
    <x v="1"/>
    <x v="0"/>
    <s v="Antonia Rodríguez"/>
    <s v="OVH"/>
    <x v="8"/>
    <s v="Reemplazo"/>
    <s v="Gabriela Garstaman"/>
    <s v="Ejecutivo Operacion Tiendas"/>
    <s v="Especialista/ Profesional"/>
    <s v="Javier Mardones"/>
    <x v="1"/>
    <n v="0"/>
    <m/>
    <s v="Nicolas Andrade"/>
    <x v="0"/>
    <d v="2026-01-05T00:00:00"/>
    <m/>
    <m/>
    <s v="GTO COM. PERSONAL DIRECTO MP SUR-924006651"/>
  </r>
  <r>
    <x v="1"/>
    <x v="0"/>
    <s v="Josefina Jordan"/>
    <s v="OVH"/>
    <x v="8"/>
    <s v="Reemplazo"/>
    <s v="Pacual Prado"/>
    <s v="Paisajista"/>
    <s v="Especialista/ Profesional"/>
    <s v="Belen Montoya"/>
    <x v="1"/>
    <n v="0"/>
    <s v="Se cerró internamente con bonos"/>
    <s v="Javiera Hernandez"/>
    <x v="0"/>
    <d v="2026-02-02T00:00:00"/>
    <m/>
    <m/>
    <s v="CONTINUIDAD OPERATIVA-8901917"/>
  </r>
  <r>
    <x v="1"/>
    <x v="0"/>
    <s v="Melany Diaz"/>
    <s v="OVH"/>
    <x v="8"/>
    <s v="Reemplazo"/>
    <s v="Cindy Gaete"/>
    <s v="Ejecutivo Clientes"/>
    <s v="Tecnico/ Vendedor"/>
    <s v="Florencia Riveros"/>
    <x v="1"/>
    <n v="0"/>
    <m/>
    <s v="Irene Alvarez"/>
    <x v="0"/>
    <d v="2026-01-05T00:00:00"/>
    <m/>
    <m/>
    <s v="GTO COM. PERSONAL DIRECTO MP ANTOFAGASTA-921501651"/>
  </r>
  <r>
    <x v="1"/>
    <x v="0"/>
    <s v="Maria Jesus Lagos"/>
    <s v="OVH"/>
    <x v="8"/>
    <s v="Reemplazo"/>
    <s v="Mauricio Vargas"/>
    <s v="Jefe Zonal de Operacion"/>
    <s v="Junior Management"/>
    <s v="Christian Martinez"/>
    <x v="1"/>
    <n v="0"/>
    <m/>
    <s v="Luis Castillo"/>
    <x v="0"/>
    <d v="2026-02-16T00:00:00"/>
    <m/>
    <m/>
    <s v="CONTINUIDAD OPERATIVA-8901917"/>
  </r>
  <r>
    <x v="1"/>
    <x v="0"/>
    <s v="Josefina Jordan"/>
    <s v="OVH"/>
    <x v="8"/>
    <s v="Reemplazo"/>
    <s v="Maria Gracia"/>
    <s v="Controller Cumplimiento Ambiental"/>
    <s v="Especialista/ Profesional"/>
    <s v="Denise Tijoux"/>
    <x v="0"/>
    <n v="21"/>
    <m/>
    <m/>
    <x v="2"/>
    <m/>
    <d v="2026-01-27T00:00:00"/>
    <m/>
    <s v="PREVENCION DE RIESGOS Y SUSTENTABILIDAD-8901914"/>
  </r>
  <r>
    <x v="1"/>
    <x v="0"/>
    <s v="Trinidad Paz"/>
    <s v="OVH"/>
    <x v="8"/>
    <s v="Reemplazo"/>
    <s v="Matias Larrain"/>
    <s v="Ejecutivo Operacion Tiendas (confidencial)"/>
    <s v="Especialista/ Profesional"/>
    <s v="Valentina Carcamo"/>
    <x v="0"/>
    <n v="16"/>
    <s v="Aun sin candidatos"/>
    <m/>
    <x v="2"/>
    <m/>
    <d v="2026-02-03T00:00:00"/>
    <m/>
    <s v="GTO COM. PERSONAL DIRECTO MP LOS DOMINICOS-924010651"/>
  </r>
  <r>
    <x v="1"/>
    <x v="0"/>
    <s v="Trinidad Paz"/>
    <s v="OVH"/>
    <x v="8"/>
    <s v="Reemplazo"/>
    <s v="Pablo Berndt"/>
    <s v="Ejecutivo Operacion Tiendas (confidencial)"/>
    <s v="Especialista/ Profesional"/>
    <s v="Mauricio Alvarez"/>
    <x v="0"/>
    <n v="16"/>
    <m/>
    <m/>
    <x v="2"/>
    <m/>
    <d v="2026-02-03T00:00:00"/>
    <m/>
    <s v="GTO COM. PERSONAL DIRECTO MP TREBOL-921201651"/>
  </r>
  <r>
    <x v="1"/>
    <x v="0"/>
    <s v="Trinidad Paz"/>
    <s v="OVH"/>
    <x v="8"/>
    <s v="Nuevo HC"/>
    <s v="Marcela Rojas"/>
    <s v="Tecnico en Prevención"/>
    <s v="Especialista/ Profesional"/>
    <s v="-"/>
    <x v="0"/>
    <n v="16"/>
    <m/>
    <m/>
    <x v="2"/>
    <m/>
    <d v="2026-02-03T00:00:00"/>
    <m/>
    <s v="GTO COM. PERSONAL DIRECTO MP VESPUCIO-921603651"/>
  </r>
  <r>
    <x v="1"/>
    <x v="0"/>
    <s v="Trinidad Paz"/>
    <s v="OVH"/>
    <x v="8"/>
    <s v="Reemplazo"/>
    <s v="Matias Larrain"/>
    <s v="Ejecutivo Clientes"/>
    <s v="Tecnico/ Vendedor"/>
    <s v="Francisca Rosas"/>
    <x v="0"/>
    <n v="19"/>
    <s v="Han llegado 28"/>
    <m/>
    <x v="2"/>
    <m/>
    <d v="2026-01-29T00:00:00"/>
    <m/>
    <s v="GTO COM. PERSONAL DIRECTO MP LOS DOMINICOS-924010651"/>
  </r>
  <r>
    <x v="1"/>
    <x v="0"/>
    <s v="Maria Esperanza"/>
    <s v="OVH"/>
    <x v="8"/>
    <s v="Reemplazo"/>
    <s v="Alfonso Adrover"/>
    <s v="Ejecutivo Clientes"/>
    <s v="Tecnico/ Vendedor"/>
    <s v="Camila Miranda"/>
    <x v="0"/>
    <n v="19"/>
    <s v="Han llegado pocos perfiles"/>
    <m/>
    <x v="2"/>
    <m/>
    <d v="2026-01-29T00:00:00"/>
    <m/>
    <s v="GTO COM. PERSONAL DIRECTO MP OESTE-921101651"/>
  </r>
  <r>
    <x v="1"/>
    <x v="0"/>
    <s v="Trinidad Paz"/>
    <s v="OVH"/>
    <x v="8"/>
    <s v="Reemplazo"/>
    <s v="Francisco Eskenazi"/>
    <s v="Ejecutivo Clientes"/>
    <s v="Tecnico/ Vendedor"/>
    <s v="Maira Ipinza"/>
    <x v="0"/>
    <n v="18"/>
    <s v="No han llegado tantos perfiles"/>
    <m/>
    <x v="2"/>
    <m/>
    <d v="2026-01-30T00:00:00"/>
    <m/>
    <s v="GTO COM. PERSONAL DIRECTO MP IQUIQUE-926111651"/>
  </r>
  <r>
    <x v="1"/>
    <x v="0"/>
    <s v="Trinidad Paz"/>
    <s v="OVH"/>
    <x v="8"/>
    <s v="Reemplazo"/>
    <s v="Marcela Leiva"/>
    <s v="Jefe Operaciones Comerciales"/>
    <s v="Junior Management"/>
    <s v="Jorge Chavez"/>
    <x v="0"/>
    <n v="16"/>
    <m/>
    <m/>
    <x v="2"/>
    <m/>
    <d v="2026-02-03T00:00:00"/>
    <m/>
    <s v="GTO COM. PERSONAL DIRECTO MP VESPUCIO-921603651"/>
  </r>
  <r>
    <x v="1"/>
    <x v="0"/>
    <s v="Trinidad Paz"/>
    <s v="OVH"/>
    <x v="8"/>
    <s v="Reemplazo"/>
    <s v="Karen Standen"/>
    <s v="Jefe Operaciones Comerciales"/>
    <s v="Junior Management"/>
    <s v="Paz Soto"/>
    <x v="1"/>
    <n v="0"/>
    <m/>
    <s v="Valentina Godas"/>
    <x v="3"/>
    <d v="2026-03-01T00:00:00"/>
    <m/>
    <m/>
    <s v="GTO COM. PERSONAL DIRECTO MP NORTE-921102651"/>
  </r>
  <r>
    <x v="1"/>
    <x v="0"/>
    <s v="Josefina Jordan"/>
    <s v="OVH"/>
    <x v="8"/>
    <s v="Reemplazo"/>
    <s v="Carolina Brahm"/>
    <s v="Analista Control De Gestion"/>
    <s v="Especialista/ Profesional"/>
    <s v="Martin Seguel"/>
    <x v="0"/>
    <n v="19"/>
    <m/>
    <m/>
    <x v="2"/>
    <m/>
    <d v="2026-01-29T00:00:00"/>
    <m/>
    <s v="ANALISIS DE NEGOCIO-8901212"/>
  </r>
  <r>
    <x v="1"/>
    <x v="0"/>
    <s v="Trinidad Paz"/>
    <s v="OVH"/>
    <x v="8"/>
    <s v="Reemplazo"/>
    <s v="Marcela Leiva"/>
    <s v="Asistente de Mall"/>
    <s v="Administrativo"/>
    <s v="Maria Isabel Abarca"/>
    <x v="0"/>
    <n v="20"/>
    <m/>
    <m/>
    <x v="2"/>
    <m/>
    <d v="2026-01-28T00:00:00"/>
    <m/>
    <s v="GTO COM. PERSONAL DIRECTO MP VESPUCIO-921603651"/>
  </r>
  <r>
    <x v="1"/>
    <x v="0"/>
    <s v="Josefina Jordan"/>
    <s v="OVH"/>
    <x v="8"/>
    <s v="Reemplazo"/>
    <s v="Andre Delaveau"/>
    <s v="Ejecutivo Revisor de Especialidades"/>
    <s v="Especialista/ Profesional"/>
    <s v="Miguel Ramirez"/>
    <x v="0"/>
    <n v="11"/>
    <m/>
    <m/>
    <x v="2"/>
    <m/>
    <d v="2026-02-10T00:00:00"/>
    <m/>
    <s v="ADMINISTRACION DE CENTROS COMERCIALES-8901918"/>
  </r>
  <r>
    <x v="1"/>
    <x v="0"/>
    <s v="Melany Diaz"/>
    <s v="OVH"/>
    <x v="8"/>
    <s v="Reemplazo"/>
    <s v="Cecilia Diaz"/>
    <s v="Asistente de Mall"/>
    <s v="Administrativo"/>
    <s v="Pia Delgado"/>
    <x v="1"/>
    <n v="22"/>
    <m/>
    <s v="Alexandra Moreno"/>
    <x v="2"/>
    <d v="2026-02-16T00:00:00"/>
    <d v="2026-01-05T00:00:00"/>
    <d v="2026-02-03T00:00:00"/>
    <s v="GTO COM. PERSONAL DIRECTO MP ARICA-924011651"/>
  </r>
  <r>
    <x v="1"/>
    <x v="0"/>
    <s v="Maria Esperanza"/>
    <s v="OVH"/>
    <x v="8"/>
    <s v="Reemplazo"/>
    <s v="Camilo Gonzalez"/>
    <s v="Ejecutivo Clientes"/>
    <s v="Tecnico/ Vendedor"/>
    <s v="Giovanni Fernandez"/>
    <x v="0"/>
    <n v="20"/>
    <m/>
    <m/>
    <x v="2"/>
    <m/>
    <d v="2026-01-28T00:00:00"/>
    <m/>
    <s v="GTO COM. PERSONAL DIRECTO MP ALAMEDA-924005651"/>
  </r>
  <r>
    <x v="1"/>
    <x v="0"/>
    <s v="Trinidad Paz"/>
    <s v="OVH"/>
    <x v="8"/>
    <s v="Reemplazo"/>
    <s v="Cesar Villouta"/>
    <s v="Ejecutivo Clientes"/>
    <s v="Tecnico/ Vendedor"/>
    <s v="Nataly Delgado"/>
    <x v="0"/>
    <n v="19"/>
    <s v="Casi listo con un referido"/>
    <m/>
    <x v="2"/>
    <m/>
    <d v="2026-01-29T00:00:00"/>
    <m/>
    <s v="GTO COM. PERSONAL DIRECTO MP MIRADOR BIO BIO-924007651"/>
  </r>
  <r>
    <x v="1"/>
    <x v="0"/>
    <s v="Maria Esperanza"/>
    <s v="OVH"/>
    <x v="8"/>
    <s v="Reemplazo"/>
    <s v="Mariana Lasalle"/>
    <s v="Ejecutivo Clientes"/>
    <s v="Tecnico/ Vendedor"/>
    <s v="Mauricio Etcheverry"/>
    <x v="0"/>
    <n v="20"/>
    <s v="Harta postulación, comienza selección de terna"/>
    <m/>
    <x v="2"/>
    <m/>
    <d v="2026-01-28T00:00:00"/>
    <m/>
    <s v="GTO COM. PERSONAL DIRECTO MP LA SERENA-921204651"/>
  </r>
  <r>
    <x v="1"/>
    <x v="0"/>
    <s v="Trinidad Paz"/>
    <s v="OVH"/>
    <x v="8"/>
    <s v="Reemplazo"/>
    <s v="Brunilda Gilardoni"/>
    <s v="Ejecutivo Clientes"/>
    <s v="Tecnico/ Vendedor"/>
    <s v="Lienchen Friz"/>
    <x v="0"/>
    <n v="19"/>
    <s v="2 Candidatas en proceso de entrevista (entrevistas 09-10/02)"/>
    <m/>
    <x v="2"/>
    <m/>
    <d v="2026-01-29T00:00:00"/>
    <m/>
    <s v="GTO COM. PERSONAL DIRECTO MP LOS ANGELES-921202651"/>
  </r>
  <r>
    <x v="1"/>
    <x v="0"/>
    <s v="Trinidad Paz"/>
    <s v="OVH"/>
    <x v="8"/>
    <s v="Reemplazo"/>
    <s v="Mauricio Maldonado"/>
    <s v="Prevencionista de Riesgos"/>
    <s v="Especialista/ Profesional"/>
    <s v="Joel Osses"/>
    <x v="0"/>
    <n v="21"/>
    <s v="13 postulaciones. pero nada bueno"/>
    <m/>
    <x v="2"/>
    <m/>
    <d v="2026-01-27T00:00:00"/>
    <m/>
    <s v="GTO COM. PERSONAL DIRECTO MP COPIAPO-924009651"/>
  </r>
  <r>
    <x v="1"/>
    <x v="0"/>
    <s v="Trinidad Paz"/>
    <s v="OVH"/>
    <x v="8"/>
    <s v="Reemplazo"/>
    <s v="Raul Perez"/>
    <s v="Prevencionista de Riesgos"/>
    <s v="Especialista/ Profesional"/>
    <s v="Fernanda Rojas"/>
    <x v="0"/>
    <n v="20"/>
    <s v="2 candidatos que van a ser evaluados mañana 06-02. Uno es interno que esta terminando reemplazo y el otro externo. "/>
    <m/>
    <x v="2"/>
    <m/>
    <d v="2026-01-28T00:00:00"/>
    <m/>
    <s v="GTO COM. PERSONAL DIRECTO MP TOBALABA-924004651"/>
  </r>
  <r>
    <x v="2"/>
    <x v="0"/>
    <s v="Betsabet Carrasco "/>
    <s v="OVH"/>
    <x v="9"/>
    <s v="Reemplazo"/>
    <s v="Adrian Hernandez "/>
    <s v="Data Engineer"/>
    <s v="Especialista/ Profesional"/>
    <s v="Felipe Cortés"/>
    <x v="1"/>
    <n v="-32842"/>
    <s v="09-02-2026 reunión con adrian, parte proceso de cero, se cae por contraoferta. Hoy jueves 12 envia mas cv. Modalidad de trabajo y renta (revisar modalidad para tecnología) "/>
    <s v="Diego Avila "/>
    <x v="0"/>
    <d v="2026-02-16T00:00:00"/>
    <d v="2025-11-18T00:00:00"/>
    <m/>
    <m/>
  </r>
  <r>
    <x v="2"/>
    <x v="0"/>
    <s v="Betsabet Carrasco "/>
    <s v="OVH"/>
    <x v="9"/>
    <s v="Reemplazo"/>
    <s v="Felipe Nuñez "/>
    <s v="Jefe de Proyecto "/>
    <s v="Junior Management"/>
    <s v="Leonardo Fernandez "/>
    <x v="1"/>
    <n v="20"/>
    <m/>
    <s v="Gustavo Rubio "/>
    <x v="2"/>
    <d v="2026-02-02T00:00:00"/>
    <d v="2025-12-12T00:00:00"/>
    <d v="2026-01-08T00:00:00"/>
    <m/>
  </r>
  <r>
    <x v="2"/>
    <x v="0"/>
    <s v="Gabriela "/>
    <s v="OVH"/>
    <x v="10"/>
    <s v="Nuevo HC"/>
    <s v="Alejandro Peraza (Por Ahora)"/>
    <s v="Arquitecto Sap * Hana "/>
    <s v="Especialista/ Profesional"/>
    <s v="Posición nueva "/>
    <x v="0"/>
    <n v="71"/>
    <s v="2 candidatos, 1 entrevistado por Alejandro que esta ok por el (pide 3.8) banda 4.2 max estamos ok. Gaby entrevista viernes 13 y validación referencias. Coordinar entrevista con Paula el lunes. / El lunes alejandro P entrevista a Jhonny Muñoz (pide 4.4) ya citado. "/>
    <m/>
    <x v="2"/>
    <m/>
    <d v="2025-11-18T00:00:00"/>
    <m/>
    <m/>
  </r>
  <r>
    <x v="2"/>
    <x v="0"/>
    <s v="Gabriela "/>
    <s v="OVH"/>
    <x v="9"/>
    <s v="Reemplazo"/>
    <s v="Andrea Casas"/>
    <s v="Jefe FICO"/>
    <s v="Junior Management"/>
    <s v="Gleeny Colmenares "/>
    <x v="0"/>
    <n v="9"/>
    <s v="Proceso se abre nuevamente. "/>
    <m/>
    <x v="2"/>
    <m/>
    <d v="2026-02-12T00:00:00"/>
    <m/>
    <m/>
  </r>
  <r>
    <x v="2"/>
    <x v="0"/>
    <s v="Javiera Nuñez "/>
    <s v="OVH"/>
    <x v="9"/>
    <s v="Reemplazo"/>
    <s v="Javier Alarcón "/>
    <s v="Senior Data Architect "/>
    <s v="Especialista/ Profesional"/>
    <s v="Iván Carrizo "/>
    <x v="0"/>
    <n v="123"/>
    <s v="Javier Alarcón no a contestado por cv enviados hace mas de 2 semanas. Revisar que pasa con el proceso. "/>
    <m/>
    <x v="2"/>
    <m/>
    <d v="2025-09-05T00:00:00"/>
    <m/>
    <m/>
  </r>
  <r>
    <x v="2"/>
    <x v="0"/>
    <s v="Javiera Nuñez "/>
    <s v="OVH"/>
    <x v="10"/>
    <s v="Nuevo HC"/>
    <s v="Andrea Cassas "/>
    <s v="Lider de Ambientes Sap "/>
    <s v="Junior Management"/>
    <s v="Posición nueva "/>
    <x v="0"/>
    <n v="67"/>
    <s v="lunes 16 javi envia cv. "/>
    <m/>
    <x v="2"/>
    <m/>
    <d v="2025-11-24T00:00:00"/>
    <m/>
    <m/>
  </r>
  <r>
    <x v="2"/>
    <x v="0"/>
    <s v="Javiera Nuñez "/>
    <s v="OVH"/>
    <x v="10"/>
    <s v="Nuevo HC"/>
    <s v="Alejandro Peraza"/>
    <s v="Technical Lead "/>
    <s v="Junior Management"/>
    <s v="Posición nueva "/>
    <x v="0"/>
    <n v="-202"/>
    <s v="1 candidato ok, tenemos de banda 4. Pide 6. Javi lo va a contactar. Los otros cv con menos experiencia. No tienen experiencia en migraciones. (Cambio de nombre en la busqueda) "/>
    <m/>
    <x v="2"/>
    <m/>
    <d v="2026-12-02T00:00:00"/>
    <m/>
    <m/>
  </r>
  <r>
    <x v="2"/>
    <x v="0"/>
    <s v="Josefina Jordan "/>
    <s v="OVH"/>
    <x v="11"/>
    <s v="Reemplazo"/>
    <s v="M Pia Herrera "/>
    <s v="Analista de Cumplimiento "/>
    <s v="Especialista/ Profesional"/>
    <s v="Confidencial "/>
    <x v="2"/>
    <n v="0"/>
    <m/>
    <m/>
    <x v="0"/>
    <m/>
    <m/>
    <m/>
    <m/>
  </r>
  <r>
    <x v="2"/>
    <x v="0"/>
    <s v="Josefina Jordan "/>
    <s v="OVH"/>
    <x v="12"/>
    <s v="Reemplazo"/>
    <s v="Carolina Henriquez  "/>
    <s v="Analista Control de Gestión "/>
    <s v="Especialista/ Profesional"/>
    <s v="Karen Sepulveda"/>
    <x v="0"/>
    <n v="32"/>
    <s v="Felipe Vial /lunes o martes con Carolina Valdés "/>
    <s v="Felipe Vial "/>
    <x v="2"/>
    <m/>
    <d v="2026-01-12T00:00:00"/>
    <m/>
    <m/>
  </r>
  <r>
    <x v="2"/>
    <x v="0"/>
    <s v="Francisca Rodriguez "/>
    <s v="EJECUTIVA"/>
    <x v="10"/>
    <s v="Nuevo HC"/>
    <s v="Gonzalo Estay y Paula Jara "/>
    <s v="Gerente de Proyecto SAP"/>
    <s v="Top Management "/>
    <s v="Posición nueva "/>
    <x v="0"/>
    <n v="32912"/>
    <s v="Iván es el candidato preseleccionado, ya fue entrevistado por Gonzalo, Paula y Derek. Jueves pm entrevista M Jesus Jimenez para ver si cerrar con el. "/>
    <m/>
    <x v="0"/>
    <m/>
    <m/>
    <m/>
    <m/>
  </r>
  <r>
    <x v="2"/>
    <x v="0"/>
    <s v="Josefina Jordan "/>
    <s v="OVH"/>
    <x v="13"/>
    <s v="Reemplazo"/>
    <s v="Nicolás Ruiz "/>
    <s v="Jefe de Inversiones "/>
    <s v="Junior Management"/>
    <s v="Nicolas Ruiz"/>
    <x v="0"/>
    <n v="28"/>
    <m/>
    <s v="Tomas Villalobos "/>
    <x v="1"/>
    <d v="2026-03-01T00:00:00"/>
    <d v="2026-01-16T00:00:00"/>
    <m/>
    <m/>
  </r>
  <r>
    <x v="2"/>
    <x v="0"/>
    <s v="KF"/>
    <s v="EJECUTIVA"/>
    <x v="11"/>
    <s v="Reemplazo"/>
    <s v="M Pía Herrera "/>
    <s v="Subgerente de Riesgo "/>
    <s v="Middle Management"/>
    <s v="Juliane Guanaes "/>
    <x v="1"/>
    <n v="0"/>
    <s v="Pablo fue ofertado hoy 03-02-2026 a espera de respuesta del candidato. Pasa a ser Director de Riesgo reportando a Hernán Silva "/>
    <s v="Pablo Pereira "/>
    <x v="2"/>
    <m/>
    <m/>
    <m/>
    <m/>
  </r>
  <r>
    <x v="2"/>
    <x v="0"/>
    <s v="Javiera Nuñez "/>
    <s v="OVH"/>
    <x v="9"/>
    <s v="Nuevo HC"/>
    <s v="Felipe Nuñez "/>
    <s v="Tech Lead "/>
    <s v="Junior Management"/>
    <s v="Posición Nueva "/>
    <x v="0"/>
    <n v="27"/>
    <s v="Intento por agendar reunión de levantamiento de perfil, con cambios en los días de reunión por parte del cliente. Primer encuentro 04-02-2026 a las 16.00 hrs. Hoy javi le envia cv a felipe y a Iván.  "/>
    <m/>
    <x v="2"/>
    <m/>
    <d v="2026-01-19T00:00:00"/>
    <m/>
    <m/>
  </r>
  <r>
    <x v="2"/>
    <x v="0"/>
    <s v="Josefina Jordan "/>
    <s v="OVH"/>
    <x v="12"/>
    <s v="Reemplazo"/>
    <s v="Carolina Henriquez  "/>
    <s v="Analista Control de Gestión "/>
    <s v="Especialista/ Profesional"/>
    <s v="Ninoska Araneda"/>
    <x v="0"/>
    <n v="11"/>
    <s v="Revisar Enzo. (1.6)"/>
    <m/>
    <x v="2"/>
    <m/>
    <d v="2026-02-10T00:00:00"/>
    <m/>
    <m/>
  </r>
  <r>
    <x v="0"/>
    <x v="0"/>
    <s v="Margarita Araneda"/>
    <s v="Ejecutivo"/>
    <x v="4"/>
    <s v="Nuevo HC"/>
    <s v="Daniel Bravo"/>
    <s v="Director de Construcción - Concepción"/>
    <s v="Middle Management"/>
    <s v="No aplica"/>
    <x v="1"/>
    <n v="41"/>
    <m/>
    <s v="Maximino Barra"/>
    <x v="0"/>
    <d v="2026-02-16T00:00:00"/>
    <d v="2025-12-09T00:00:00"/>
    <d v="2026-02-03T00:00:00"/>
    <m/>
  </r>
  <r>
    <x v="0"/>
    <x v="0"/>
    <s v="Margarita Araneda"/>
    <s v="Ejecutivo"/>
    <x v="4"/>
    <s v="Nuevo HC"/>
    <s v="Daniel Bravo"/>
    <s v="Director de Construcción - Santiago"/>
    <s v="Middle Management"/>
    <s v="No aplica"/>
    <x v="1"/>
    <n v="41"/>
    <m/>
    <s v="Jaime Bastias"/>
    <x v="2"/>
    <d v="2026-03-02T00:00:00"/>
    <d v="2025-12-09T00:00:00"/>
    <d v="2026-02-03T00:00:00"/>
    <m/>
  </r>
  <r>
    <x v="0"/>
    <x v="0"/>
    <s v="Francisca Rodriguez"/>
    <s v="Ejecutivo"/>
    <x v="4"/>
    <s v="Nuevo HC"/>
    <s v="Daniel Bravo"/>
    <s v="Director de Construcción Chile"/>
    <s v="Middle Management"/>
    <s v="No aplica"/>
    <x v="0"/>
    <n v="18"/>
    <s v="Revisando nuevos candidatos."/>
    <m/>
    <x v="0"/>
    <m/>
    <d v="2026-01-30T00:00:00"/>
    <m/>
    <m/>
  </r>
  <r>
    <x v="0"/>
    <x v="0"/>
    <s v="Josefina Jordan"/>
    <s v="OVH"/>
    <x v="14"/>
    <s v="Reemplazo"/>
    <s v="Juan Pablo Almazora"/>
    <s v="Jefe Gestión Permisos y Gestión Vial"/>
    <s v="Junior Management"/>
    <s v="Nueva Vacante"/>
    <x v="0"/>
    <n v="37"/>
    <m/>
    <m/>
    <x v="0"/>
    <m/>
    <d v="2026-01-05T00:00:00"/>
    <m/>
    <m/>
  </r>
  <r>
    <x v="3"/>
    <x v="1"/>
    <s v="Renan Quispe"/>
    <s v="OVH"/>
    <x v="15"/>
    <s v="Reemplazo"/>
    <s v="Kristine Plenge"/>
    <s v="Practicante Profesional"/>
    <s v="Practicante"/>
    <s v="Pablo del Aguila"/>
    <x v="1"/>
    <n v="15"/>
    <m/>
    <s v="Stefany Abregú"/>
    <x v="0"/>
    <d v="2026-01-05T00:00:00"/>
    <d v="2025-12-03T00:00:00"/>
    <d v="2025-12-23T00:00:00"/>
    <s v="P701930"/>
  </r>
  <r>
    <x v="3"/>
    <x v="1"/>
    <s v="Renan Quispe"/>
    <s v="OVH"/>
    <x v="15"/>
    <s v="Nuevo HC"/>
    <s v="Anggela Pérez"/>
    <s v="Practicante Profesional"/>
    <s v="Practicante"/>
    <s v="Nueva Vacante"/>
    <x v="1"/>
    <n v="3"/>
    <m/>
    <s v="Angela Segami"/>
    <x v="0"/>
    <d v="2026-01-05T00:00:00"/>
    <d v="2025-12-19T00:00:00"/>
    <d v="2025-12-23T00:00:00"/>
    <s v="P701930"/>
  </r>
  <r>
    <x v="3"/>
    <x v="1"/>
    <s v="-"/>
    <s v="OVH"/>
    <x v="8"/>
    <s v="Reemplazo"/>
    <s v="Andres Farro"/>
    <s v="Ejecutivo Operacion Tienda"/>
    <s v="Especialista/ Profesional"/>
    <s v="Katherine Ordaya"/>
    <x v="1"/>
    <n v="0"/>
    <s v="Pasa de OP Atocongo a Mallplaza Angamos"/>
    <s v="Carla Franco"/>
    <x v="1"/>
    <d v="2026-01-01T00:00:00"/>
    <m/>
    <m/>
    <s v="92P607651"/>
  </r>
  <r>
    <x v="3"/>
    <x v="1"/>
    <s v="Brissa Pósito"/>
    <s v="OVH"/>
    <x v="8"/>
    <s v="Reemplazo"/>
    <s v="Cesli Carhuamaca"/>
    <s v="Ejecutivo Operacion Tienda"/>
    <s v="Especialista/ Profesional"/>
    <s v="Carla Franco"/>
    <x v="1"/>
    <n v="31"/>
    <m/>
    <s v="Ximena Zavala"/>
    <x v="0"/>
    <d v="2026-01-19T00:00:00"/>
    <d v="2025-11-24T00:00:00"/>
    <d v="2026-01-05T00:00:00"/>
    <s v="92P608651"/>
  </r>
  <r>
    <x v="3"/>
    <x v="1"/>
    <s v="Daniella Matta"/>
    <s v="OVH"/>
    <x v="15"/>
    <s v="Reemplazo"/>
    <s v="Andrea Luna"/>
    <s v="Ejecutivo Comercial Jr."/>
    <s v="Especialista/ Profesional"/>
    <s v="Paola Juarez"/>
    <x v="1"/>
    <n v="31"/>
    <m/>
    <s v="Fátima Paredes"/>
    <x v="0"/>
    <d v="2026-01-19T00:00:00"/>
    <d v="2025-11-10T00:00:00"/>
    <d v="2025-12-22T00:00:00"/>
    <s v="P701930"/>
  </r>
  <r>
    <x v="3"/>
    <x v="1"/>
    <s v="Irwin Paulino"/>
    <s v="OVH"/>
    <x v="16"/>
    <s v="Nuevo HC"/>
    <s v="Lucianne Giha"/>
    <s v="Practicante Profesional"/>
    <s v="Practicante"/>
    <s v="No aplica"/>
    <x v="1"/>
    <n v="15"/>
    <m/>
    <s v="Andrea Miraval"/>
    <x v="0"/>
    <d v="2026-02-02T00:00:00"/>
    <d v="2025-12-24T00:00:00"/>
    <d v="2026-01-13T00:00:00"/>
    <s v="P701984"/>
  </r>
  <r>
    <x v="3"/>
    <x v="1"/>
    <s v="Irwin Paulino"/>
    <s v="Operaciones"/>
    <x v="8"/>
    <s v="Reemplazo"/>
    <s v="Giancarlo Centomini"/>
    <s v="Ejecutivo de Clientes y Marketing"/>
    <s v="Especialista/ Profesional"/>
    <s v="Pamela Murguia"/>
    <x v="1"/>
    <n v="29"/>
    <m/>
    <s v="Bryan Tapia"/>
    <x v="0"/>
    <d v="2026-03-02T00:00:00"/>
    <d v="2025-12-24T00:00:00"/>
    <d v="2026-02-02T00:00:00"/>
    <s v="92P106651"/>
  </r>
  <r>
    <x v="3"/>
    <x v="1"/>
    <s v="Fernanda Armas"/>
    <s v="OVH"/>
    <x v="13"/>
    <s v="Reemplazo"/>
    <s v="Alvaro Sanchez"/>
    <s v="Analista de Gestión de Proyectos"/>
    <s v="Especialista/ Profesional"/>
    <s v="Cristian Serrano"/>
    <x v="1"/>
    <n v="40"/>
    <s v="Movimiento intercompany: Sodimac a Mallplaza"/>
    <s v="Francesca Knox"/>
    <x v="1"/>
    <d v="2026-03-01T00:00:00"/>
    <d v="2025-12-11T00:00:00"/>
    <d v="2026-02-04T00:00:00"/>
    <s v="P701956"/>
  </r>
  <r>
    <x v="3"/>
    <x v="1"/>
    <s v="Gabriela Vera Tudela"/>
    <s v="OVH"/>
    <x v="15"/>
    <s v="Reemplazo"/>
    <s v="Anggela Pérez"/>
    <s v="Ejecutivo Comercial Senior (confidencial)"/>
    <s v="Especialista/ Profesional"/>
    <s v="Confidencial "/>
    <x v="0"/>
    <n v="49"/>
    <m/>
    <m/>
    <x v="0"/>
    <m/>
    <d v="2025-12-18T00:00:00"/>
    <m/>
    <s v="P701930"/>
  </r>
  <r>
    <x v="3"/>
    <x v="1"/>
    <s v="Gabriela Vera Tudela"/>
    <s v="OVH"/>
    <x v="15"/>
    <s v="Reemplazo"/>
    <s v="Anggela Pérez"/>
    <s v="Ejecutivo Comercial (confidencial)"/>
    <s v="Especialista/ Profesional"/>
    <s v="Confidencial "/>
    <x v="0"/>
    <n v="49"/>
    <m/>
    <m/>
    <x v="0"/>
    <m/>
    <d v="2025-12-18T00:00:00"/>
    <m/>
    <s v="P701930"/>
  </r>
  <r>
    <x v="3"/>
    <x v="1"/>
    <s v="Denisse Guarniz"/>
    <s v="Operaciones"/>
    <x v="8"/>
    <s v="Reemplazo"/>
    <s v="Sergio Chamochumbi"/>
    <s v="Director de Mall"/>
    <s v="Middle Management"/>
    <s v="Andres Farro"/>
    <x v="0"/>
    <n v="42"/>
    <m/>
    <m/>
    <x v="0"/>
    <m/>
    <d v="2025-12-29T00:00:00"/>
    <m/>
    <s v="92P607651"/>
  </r>
  <r>
    <x v="3"/>
    <x v="1"/>
    <s v="Gabriela Vera Tudela"/>
    <s v="Operaciones"/>
    <x v="8"/>
    <s v="Reemplazo"/>
    <s v="Pilar Arellano"/>
    <s v="Adminsitrador de Centro Comercial"/>
    <s v="Junior Management"/>
    <s v="Cinthia García"/>
    <x v="0"/>
    <n v="31"/>
    <m/>
    <m/>
    <x v="0"/>
    <m/>
    <d v="2026-01-13T00:00:00"/>
    <m/>
    <s v="92P609651"/>
  </r>
  <r>
    <x v="3"/>
    <x v="1"/>
    <s v="Gabriela Vera Tudela"/>
    <s v="Operaciones"/>
    <x v="8"/>
    <s v="Reemplazo"/>
    <s v="Pilar Arellano"/>
    <s v="Adminsitrador de Centro Comercial"/>
    <s v="Junior Management"/>
    <s v="Paul Alvia"/>
    <x v="0"/>
    <n v="31"/>
    <m/>
    <m/>
    <x v="0"/>
    <m/>
    <d v="2026-01-13T00:00:00"/>
    <m/>
    <s v="92P603651"/>
  </r>
  <r>
    <x v="3"/>
    <x v="1"/>
    <s v="Denisse Guarniz"/>
    <s v="OVH"/>
    <x v="8"/>
    <s v="Reemplazo"/>
    <s v="Sergio Chamochumbi"/>
    <s v="Jefe de Prevención (confidencial)"/>
    <s v="Especialista/ Profesional"/>
    <s v="Confidencial "/>
    <x v="0"/>
    <n v="28"/>
    <m/>
    <m/>
    <x v="0"/>
    <m/>
    <d v="2026-01-16T00:00:00"/>
    <m/>
    <s v="P701911"/>
  </r>
  <r>
    <x v="3"/>
    <x v="1"/>
    <s v="Denisse Guarniz"/>
    <s v="OVH"/>
    <x v="8"/>
    <s v="Reemplazo"/>
    <s v="Sergio Chamochumbi"/>
    <s v="Coordinador de Energía (confiendencial)"/>
    <s v="Especialista/ Profesional"/>
    <s v="Confidencial "/>
    <x v="0"/>
    <n v="28"/>
    <m/>
    <m/>
    <x v="0"/>
    <m/>
    <d v="2026-01-16T00:00:00"/>
    <m/>
    <s v="P701911"/>
  </r>
  <r>
    <x v="3"/>
    <x v="1"/>
    <s v="Denisse Guarniz"/>
    <s v="OVH"/>
    <x v="8"/>
    <s v="Nuevo HC"/>
    <s v="Maria Grazia Mogrovejo"/>
    <s v="Ejecutivo Revisor de Especialidades"/>
    <s v="Especialista/ Profesional"/>
    <s v="Nueva Vacante"/>
    <x v="0"/>
    <n v="24"/>
    <m/>
    <m/>
    <x v="0"/>
    <m/>
    <d v="2026-01-22T00:00:00"/>
    <m/>
    <s v="P701917"/>
  </r>
  <r>
    <x v="3"/>
    <x v="1"/>
    <s v="Denisse Guarniz"/>
    <s v="OVH"/>
    <x v="8"/>
    <s v="Nuevo HC"/>
    <s v="Maria Grazia Mogrovejo"/>
    <s v="Ejecutivo Revisor de Especialidades"/>
    <s v="Especialista/ Profesional"/>
    <s v="Nueva Vacante"/>
    <x v="0"/>
    <n v="24"/>
    <m/>
    <m/>
    <x v="0"/>
    <m/>
    <d v="2026-01-22T00:00:00"/>
    <m/>
    <s v="P701917"/>
  </r>
  <r>
    <x v="3"/>
    <x v="1"/>
    <s v="Brissa Pósito"/>
    <s v="OVH"/>
    <x v="17"/>
    <s v="Reemplazo"/>
    <s v="Jose Cabanillas"/>
    <s v="Analista de Cobranzas"/>
    <s v="Especialista/ Profesional"/>
    <s v="Karol Gordillo"/>
    <x v="0"/>
    <n v="19"/>
    <m/>
    <m/>
    <x v="0"/>
    <m/>
    <d v="2026-01-29T00:00:00"/>
    <m/>
    <s v="P701958"/>
  </r>
  <r>
    <x v="3"/>
    <x v="1"/>
    <s v="Daniella Matta"/>
    <s v="OVH"/>
    <x v="17"/>
    <s v="Reemplazo"/>
    <s v="Paula Beltran"/>
    <s v="Analista de Control de Gestion"/>
    <s v="Especialista/ Profesional"/>
    <s v="Clyde Farias"/>
    <x v="0"/>
    <n v="13"/>
    <m/>
    <m/>
    <x v="0"/>
    <m/>
    <d v="2026-02-06T00:00:00"/>
    <m/>
    <s v="P701956"/>
  </r>
  <r>
    <x v="3"/>
    <x v="1"/>
    <s v="Karolina Rojas"/>
    <s v="Operaciones"/>
    <x v="8"/>
    <s v="Reemplazo"/>
    <s v="Andres Farro"/>
    <s v="Ejecutivo de Clientes y Marketing"/>
    <s v="Especialista/ Profesional"/>
    <s v="Beatriz Castro"/>
    <x v="1"/>
    <n v="31"/>
    <s v="Pasa de MP Arequipa a MP Angamos"/>
    <s v="Mirella Alvarez"/>
    <x v="1"/>
    <d v="2026-03-01T00:00:00"/>
    <d v="2025-12-30T00:00:00"/>
    <d v="2026-02-10T00:00:00"/>
    <s v="92P607651"/>
  </r>
  <r>
    <x v="0"/>
    <x v="1"/>
    <s v="Francisca Rodriguez"/>
    <s v="Ejecutivo"/>
    <x v="4"/>
    <s v="Reemplazo"/>
    <s v="Daniel Bravo"/>
    <s v="Director de Proyectos"/>
    <s v="Middle Management"/>
    <s v="Reemplazo Confidencial"/>
    <x v="1"/>
    <n v="3"/>
    <m/>
    <s v="Carlos Arimana"/>
    <x v="2"/>
    <d v="2026-02-16T00:00:00"/>
    <d v="2026-02-02T00:00:00"/>
    <d v="2026-02-04T00:00:00"/>
    <m/>
  </r>
  <r>
    <x v="4"/>
    <x v="2"/>
    <s v="Leidy Lorena González"/>
    <s v="OVH"/>
    <x v="18"/>
    <s v="Reemplazo"/>
    <s v="Marcela Galindo"/>
    <s v="Ejecutiva Espacios Publicitarios"/>
    <s v="Especialista/Profesional"/>
    <s v="Camila Lora"/>
    <x v="1"/>
    <n v="21"/>
    <s v="Cambia al cargo a partir del 02 de marzo, en paralelo inicia busqueda del remplazo del cargo actual"/>
    <s v="Valeria Esquivel"/>
    <x v="1"/>
    <d v="2026-03-02T00:00:00"/>
    <d v="2026-01-05T00:00:00"/>
    <d v="2026-02-02T00:00:00"/>
    <s v="C509930"/>
  </r>
  <r>
    <x v="4"/>
    <x v="2"/>
    <s v="Leidy Lorena González"/>
    <s v="OVH"/>
    <x v="19"/>
    <s v="Reemplazo"/>
    <s v="Laura Camargo"/>
    <s v="Ejecutiva de Ventas MNZ"/>
    <s v="Especialista/Profesional"/>
    <s v="N/A"/>
    <x v="1"/>
    <n v="15"/>
    <s v="Ingreso"/>
    <s v="Nayat Sabbagh"/>
    <x v="2"/>
    <d v="2026-02-02T00:00:00"/>
    <d v="2026-01-05T00:00:00"/>
    <d v="2026-01-23T00:00:00"/>
    <s v="92C631651"/>
  </r>
  <r>
    <x v="0"/>
    <x v="0"/>
    <s v="Margarita Araneda"/>
    <s v="Ejecutivo"/>
    <x v="20"/>
    <s v="Nuevo HC"/>
    <s v="Daniel Bravo"/>
    <s v="Director de Construcción La Serena"/>
    <s v="Middle Management"/>
    <s v="No aplica"/>
    <x v="1"/>
    <n v="39"/>
    <m/>
    <s v="Edison Belmar"/>
    <x v="3"/>
    <d v="2026-02-01T00:00:00"/>
    <d v="2025-12-09T00:00:00"/>
    <d v="2026-01-30T00:00:00"/>
    <m/>
  </r>
  <r>
    <x v="0"/>
    <x v="0"/>
    <s v="Maria Jesus Lagos"/>
    <s v="OVH"/>
    <x v="21"/>
    <s v="Reemplazo"/>
    <s v="Maria Francisca Guerra"/>
    <s v="Jefe de Marketing Chile"/>
    <s v="Junior Management"/>
    <m/>
    <x v="1"/>
    <n v="15"/>
    <m/>
    <s v="Doriana Alcalá"/>
    <x v="2"/>
    <d v="2026-01-19T00:00:00"/>
    <d v="2025-12-16T00:00:00"/>
    <d v="2026-01-05T00:00:00"/>
    <m/>
  </r>
  <r>
    <x v="0"/>
    <x v="0"/>
    <s v="Josefina Jordán"/>
    <s v="OVH"/>
    <x v="22"/>
    <s v="Reemplazo"/>
    <s v="Leonardo Valiente"/>
    <s v="Analista Control de Nómina y Procesos"/>
    <s v="Especialista/Profesional"/>
    <s v="Javiera Reyes"/>
    <x v="1"/>
    <n v="19"/>
    <m/>
    <s v="Bruno Labbe"/>
    <x v="2"/>
    <d v="2026-02-01T00:00:00"/>
    <d v="2025-12-18T00:00:00"/>
    <d v="2026-01-13T00:00:00"/>
    <m/>
  </r>
  <r>
    <x v="0"/>
    <x v="1"/>
    <s v="Francisca Rodriguez"/>
    <s v="Ejecutivo"/>
    <x v="4"/>
    <s v="Nuevo HC"/>
    <s v="Daniel Bravo"/>
    <s v="Director de Proyectos - Piura"/>
    <s v="Middle Management"/>
    <s v="Nueva vacante"/>
    <x v="1"/>
    <n v="38"/>
    <m/>
    <s v="Jorge Ordinola"/>
    <x v="2"/>
    <d v="2026-03-02T00:00:00"/>
    <d v="2025-12-17T00:00:00"/>
    <d v="2026-02-06T00:00:00"/>
    <m/>
  </r>
  <r>
    <x v="4"/>
    <x v="2"/>
    <s v="Lina Casas"/>
    <s v="OVH"/>
    <x v="23"/>
    <s v="Reemplazo"/>
    <s v="Daniel Bravo"/>
    <s v="Lider de Arquitectura- Reemplazp Licencia Materna"/>
    <s v="Especialista/Profesional"/>
    <s v="Maria Nova"/>
    <x v="0"/>
    <n v="32912"/>
    <s v="Estamos en proceso de entrevistas"/>
    <m/>
    <x v="0"/>
    <m/>
    <m/>
    <m/>
    <m/>
  </r>
  <r>
    <x v="4"/>
    <x v="2"/>
    <s v="Maira Gonzalez"/>
    <s v="OVH"/>
    <x v="24"/>
    <s v="Reemplazo"/>
    <s v="Daniela Gonzalez"/>
    <s v="Practicante Universitario"/>
    <s v="Practicante"/>
    <s v="Ana Diaz"/>
    <x v="1"/>
    <n v="13"/>
    <s v="En proceso de contratación"/>
    <s v="Sergio Barrios"/>
    <x v="2"/>
    <d v="2026-02-16T00:00:00"/>
    <d v="2026-01-15T00:00:00"/>
    <d v="2026-02-02T00:00:00"/>
    <s v="C509955"/>
  </r>
  <r>
    <x v="4"/>
    <x v="2"/>
    <s v="Leidy Lorena González"/>
    <s v="OVH"/>
    <x v="25"/>
    <s v="Reemplazo"/>
    <s v="Juan Manuel Rengifo"/>
    <s v="Ejecutiva de Clientes CAL"/>
    <s v="Especialista/Profesional"/>
    <s v="Valeria Esquivel"/>
    <x v="0"/>
    <n v="32912"/>
    <s v="Estamos en proceso de entrevistas"/>
    <m/>
    <x v="0"/>
    <m/>
    <m/>
    <m/>
    <m/>
  </r>
  <r>
    <x v="4"/>
    <x v="2"/>
    <s v="Lina Casas"/>
    <s v="OVH"/>
    <x v="26"/>
    <s v="Reemplazo"/>
    <s v="Marcela Campo"/>
    <s v="Aprendiz Sena CTG"/>
    <s v="Practicante"/>
    <s v="Ana Carlota"/>
    <x v="1"/>
    <n v="18"/>
    <s v="Ingresa en etapa lectiva y en productiva ingresa el 16/06/2026"/>
    <s v="Viviana Navarro"/>
    <x v="2"/>
    <d v="2026-02-02T00:00:00"/>
    <d v="2026-01-02T00:00:00"/>
    <d v="2026-01-27T00:00:00"/>
    <s v="92C621651"/>
  </r>
  <r>
    <x v="1"/>
    <x v="0"/>
    <m/>
    <s v="OVH"/>
    <x v="8"/>
    <s v="Reemplazo"/>
    <s v="Pablo Berndt"/>
    <s v="Product Manager"/>
    <s v="Especialista/Profesional"/>
    <s v="Constanza Ruiz"/>
    <x v="0"/>
    <m/>
    <s v="_x0009_Reemplazo de PM que estará cubriendo pre y post natal de jefe de operaciones comerciales. Reemplazo por periodo pre y post natal."/>
    <m/>
    <x v="2"/>
    <m/>
    <d v="2026-02-16T00:00:00"/>
    <m/>
    <s v="GTO COM. PERSONAL DIRECTO MP TREBOL-921201651"/>
  </r>
  <r>
    <x v="1"/>
    <x v="0"/>
    <m/>
    <s v="OVH"/>
    <x v="8"/>
    <s v="Reemplazo"/>
    <s v="Pablo Berndt"/>
    <s v="Asistente de Mall"/>
    <s v="Administrativo"/>
    <s v="Francisca Chavez"/>
    <x v="0"/>
    <n v="7"/>
    <m/>
    <m/>
    <x v="2"/>
    <m/>
    <d v="2026-02-16T00:00:00"/>
    <m/>
    <s v="GTO COM. PERSONAL DIRECTO MP TREBOL-921201651"/>
  </r>
  <r>
    <x v="1"/>
    <x v="0"/>
    <m/>
    <s v="OVH"/>
    <x v="8"/>
    <s v="Reemplazo"/>
    <s v="Gabriela Garstman"/>
    <s v="Asistente de Mall"/>
    <s v="Administrativo"/>
    <s v="Francisca Aguila"/>
    <x v="0"/>
    <n v="7"/>
    <m/>
    <m/>
    <x v="2"/>
    <m/>
    <d v="2026-02-16T00:00:00"/>
    <m/>
    <s v="GTO COM. PERSONAL DIRECTO MP SUR-924006651"/>
  </r>
  <r>
    <x v="1"/>
    <x v="0"/>
    <m/>
    <s v="OVH"/>
    <x v="8"/>
    <s v="Reemplazo"/>
    <s v="Karen Standen"/>
    <s v="Asistente de Mall"/>
    <s v="Administrativo"/>
    <s v="Paola Ramirez"/>
    <x v="0"/>
    <n v="7"/>
    <m/>
    <m/>
    <x v="2"/>
    <m/>
    <d v="2026-02-16T00:00:00"/>
    <m/>
    <s v="GTO COM. PERSONAL DIRECTO MP NORTE-921102651"/>
  </r>
  <r>
    <x v="1"/>
    <x v="0"/>
    <s v="Melany Diaz"/>
    <s v="OVH"/>
    <x v="8"/>
    <s v="Reemplazo"/>
    <s v="Maria Cecilia Diaz"/>
    <s v="Asistente de Mall"/>
    <s v="Administrativo"/>
    <s v="Irene Alvarez"/>
    <x v="0"/>
    <n v="6"/>
    <m/>
    <m/>
    <x v="2"/>
    <m/>
    <d v="2026-02-17T00:00:00"/>
    <m/>
    <s v="GTO COM. PERSONAL DIRECTO MP IQUIQUE-926111651"/>
  </r>
  <r>
    <x v="3"/>
    <x v="1"/>
    <s v="Tania Guerra"/>
    <s v="OVH"/>
    <x v="17"/>
    <s v="Reemplazo"/>
    <s v="Macarena Urrutia"/>
    <s v="Asistente de Gerencia"/>
    <s v="Administrativo"/>
    <s v="Madelen Tello"/>
    <x v="0"/>
    <n v="7"/>
    <m/>
    <m/>
    <x v="0"/>
    <m/>
    <d v="2026-02-16T00:00:00"/>
    <m/>
    <s v="P701953"/>
  </r>
  <r>
    <x v="0"/>
    <x v="1"/>
    <s v="Francisca Rodriguez"/>
    <s v="OVH"/>
    <x v="4"/>
    <s v="Nuevo HC"/>
    <s v="Daniel Bravo"/>
    <s v="Director de Construcción Perú"/>
    <s v="Middle Management"/>
    <s v="Nueva Vacante"/>
    <x v="0"/>
    <n v="32912"/>
    <s v="Carta Oferta"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0"/>
    <x v="0"/>
    <s v="Maria Jose Carrizo"/>
    <s v="Ejecutivo"/>
    <x v="7"/>
    <s v="Reemplazo"/>
    <s v="Pilar Barriga"/>
    <s v="Directora de Experiencia"/>
    <s v="Middle Management"/>
    <s v="Catalina Cruz"/>
    <x v="1"/>
    <n v="14"/>
    <s v="Cerrada con promoción interna"/>
    <s v="Daniela Back"/>
    <x v="3"/>
    <d v="2026-02-01T00:00:00"/>
    <d v="2025-12-19T00:00:00"/>
    <d v="2026-01-07T00:00:00"/>
    <m/>
  </r>
  <r>
    <x v="0"/>
    <x v="0"/>
    <s v="Maria Jose Carrizo"/>
    <s v="Ejecutivo"/>
    <x v="7"/>
    <s v="Reemplazo"/>
    <s v="Pilar Barriga"/>
    <s v="Directora de Marketing Chile"/>
    <s v="Middle Management"/>
    <m/>
    <x v="1"/>
    <n v="33"/>
    <s v="Referida de Pilar Barriga."/>
    <s v="Maria Francisca Guerra"/>
    <x v="2"/>
    <d v="2025-08-20T00:00:00"/>
    <d v="2025-11-20T00:00:00"/>
    <d v="2026-01-05T00:00:00"/>
    <m/>
  </r>
  <r>
    <x v="2"/>
    <x v="0"/>
    <m/>
    <m/>
    <x v="27"/>
    <m/>
    <m/>
    <m/>
    <m/>
    <m/>
    <x v="3"/>
    <n v="0"/>
    <m/>
    <m/>
    <x v="0"/>
    <m/>
    <m/>
    <m/>
    <m/>
  </r>
  <r>
    <x v="2"/>
    <x v="0"/>
    <m/>
    <m/>
    <x v="27"/>
    <m/>
    <m/>
    <m/>
    <m/>
    <m/>
    <x v="3"/>
    <n v="0"/>
    <m/>
    <m/>
    <x v="0"/>
    <m/>
    <m/>
    <m/>
    <m/>
  </r>
  <r>
    <x v="2"/>
    <x v="0"/>
    <m/>
    <m/>
    <x v="27"/>
    <m/>
    <m/>
    <m/>
    <m/>
    <m/>
    <x v="3"/>
    <n v="0"/>
    <m/>
    <m/>
    <x v="0"/>
    <m/>
    <m/>
    <m/>
    <m/>
  </r>
  <r>
    <x v="2"/>
    <x v="0"/>
    <m/>
    <m/>
    <x v="27"/>
    <m/>
    <m/>
    <m/>
    <m/>
    <m/>
    <x v="3"/>
    <n v="0"/>
    <m/>
    <m/>
    <x v="0"/>
    <m/>
    <m/>
    <m/>
    <m/>
  </r>
  <r>
    <x v="2"/>
    <x v="0"/>
    <m/>
    <m/>
    <x v="27"/>
    <m/>
    <m/>
    <m/>
    <m/>
    <m/>
    <x v="3"/>
    <n v="0"/>
    <m/>
    <m/>
    <x v="0"/>
    <m/>
    <m/>
    <m/>
    <m/>
  </r>
  <r>
    <x v="2"/>
    <x v="0"/>
    <m/>
    <m/>
    <x v="27"/>
    <m/>
    <m/>
    <m/>
    <m/>
    <m/>
    <x v="3"/>
    <n v="0"/>
    <m/>
    <m/>
    <x v="0"/>
    <m/>
    <m/>
    <m/>
    <m/>
  </r>
  <r>
    <x v="5"/>
    <x v="3"/>
    <m/>
    <m/>
    <x v="27"/>
    <m/>
    <m/>
    <m/>
    <m/>
    <m/>
    <x v="3"/>
    <n v="0"/>
    <m/>
    <m/>
    <x v="0"/>
    <m/>
    <m/>
    <m/>
    <m/>
  </r>
  <r>
    <x v="0"/>
    <x v="0"/>
    <s v="Sofia Fusch"/>
    <s v="Ejecutivo"/>
    <x v="14"/>
    <s v="Nuevo HC"/>
    <s v="Ricardo Awad"/>
    <s v="Subgerente"/>
    <s v="Middle Management"/>
    <m/>
    <x v="0"/>
    <n v="2"/>
    <m/>
    <m/>
    <x v="0"/>
    <m/>
    <d v="2026-02-23T00:00:00"/>
    <m/>
    <m/>
  </r>
  <r>
    <x v="0"/>
    <x v="0"/>
    <s v="Pendiente"/>
    <s v="OVH"/>
    <x v="28"/>
    <s v="Reemplazo"/>
    <s v="Gonzalo Rodriguez"/>
    <s v="PM"/>
    <s v="Especialista/Profesional"/>
    <s v="Vicente Ortiz"/>
    <x v="0"/>
    <n v="2"/>
    <m/>
    <m/>
    <x v="0"/>
    <m/>
    <d v="2026-02-23T00:00:00"/>
    <m/>
    <m/>
  </r>
  <r>
    <x v="0"/>
    <x v="0"/>
    <s v="Pendiente"/>
    <s v="OVH"/>
    <x v="14"/>
    <s v="Nuevo HC"/>
    <s v="Paloma Cuesta"/>
    <s v="Practicante"/>
    <s v="Practicante"/>
    <m/>
    <x v="0"/>
    <n v="2"/>
    <m/>
    <m/>
    <x v="0"/>
    <m/>
    <d v="2026-02-23T00:00:00"/>
    <m/>
    <m/>
  </r>
  <r>
    <x v="0"/>
    <x v="0"/>
    <s v="Pendiente"/>
    <s v="OVH"/>
    <x v="28"/>
    <s v="Reemplazo"/>
    <s v="Rodrigo Alcalde/Consuelo Zuñiga"/>
    <s v="PM"/>
    <s v="Especialista/Profesional"/>
    <s v="Valentina Neuwman"/>
    <x v="0"/>
    <n v="2"/>
    <m/>
    <m/>
    <x v="0"/>
    <m/>
    <d v="2026-02-23T00:00:00"/>
    <m/>
    <m/>
  </r>
  <r>
    <x v="0"/>
    <x v="0"/>
    <s v="Pendiente"/>
    <s v="OVH"/>
    <x v="7"/>
    <s v="Nuevo HC"/>
    <s v="Florencia Acosta"/>
    <s v="Practicante"/>
    <s v="Practicante"/>
    <m/>
    <x v="0"/>
    <n v="2"/>
    <m/>
    <m/>
    <x v="0"/>
    <m/>
    <d v="2026-02-23T00:00:00"/>
    <m/>
    <m/>
  </r>
  <r>
    <x v="0"/>
    <x v="0"/>
    <s v="Pendiente"/>
    <s v="Ejecutivo"/>
    <x v="28"/>
    <s v="Nuevo HC"/>
    <s v="Sebastian Schwerter"/>
    <s v="Subgerente de Exploración"/>
    <s v="Middle Management"/>
    <s v="N/A"/>
    <x v="0"/>
    <n v="2"/>
    <m/>
    <m/>
    <x v="0"/>
    <m/>
    <d v="2026-02-23T00:00:00"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  <r>
    <x v="5"/>
    <x v="3"/>
    <m/>
    <m/>
    <x v="27"/>
    <m/>
    <m/>
    <m/>
    <m/>
    <m/>
    <x v="3"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755E0-5FEF-4CF3-8CFF-09C0FB8D59F8}" name="TablaDinámica3" cacheId="0" applyNumberFormats="0" applyBorderFormats="0" applyFontFormats="0" applyPatternFormats="0" applyAlignmentFormats="0" applyWidthHeightFormats="1" dataCaption="Valores" grandTotalCaption="Total Cerradas" missingCaption="0" updatedVersion="8" minRefreshableVersion="3" useAutoFormatting="1" itemPrintTitles="1" createdVersion="8" indent="0" outline="1" outlineData="1" multipleFieldFilters="0" rowHeaderCaption="País" colHeaderCaption="Filtros">
  <location ref="H16:N22" firstHeaderRow="1" firstDataRow="3" firstDataCol="1" rowPageCount="1" colPageCount="1"/>
  <pivotFields count="20">
    <pivotField multipleItemSelectionAllowed="1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6">
        <item h="1" x="0"/>
        <item h="1" m="1" x="4"/>
        <item x="1"/>
        <item h="1" x="2"/>
        <item h="1" x="3"/>
        <item t="default"/>
      </items>
    </pivotField>
    <pivotField showAll="0"/>
    <pivotField showAll="0"/>
    <pivotField showAll="0"/>
    <pivotField axis="axisCol" showAll="0">
      <items count="6">
        <item x="2"/>
        <item x="1"/>
        <item m="1" x="4"/>
        <item x="3"/>
        <item x="0"/>
        <item t="default"/>
      </items>
    </pivotField>
    <pivotField showAll="0"/>
    <pivotField showAll="0"/>
    <pivotField showAll="0"/>
    <pivotField showAll="0"/>
    <pivotField axis="axisCol" showAll="0">
      <items count="5">
        <item sd="0" x="1"/>
        <item n="Movilidad Interna" x="3"/>
        <item x="2"/>
        <item n="Vacantes sin información" sd="0"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19"/>
    <field x="14"/>
  </colFields>
  <colItems count="6">
    <i>
      <x/>
    </i>
    <i>
      <x v="1"/>
      <x v="1"/>
    </i>
    <i r="1">
      <x v="3"/>
    </i>
    <i t="default">
      <x v="1"/>
    </i>
    <i>
      <x v="3"/>
    </i>
    <i t="grand">
      <x/>
    </i>
  </colItems>
  <pageFields count="1">
    <pageField fld="10" hier="-1"/>
  </pageFields>
  <dataFields count="1">
    <dataField name="Tipo de Cobertura por País" fld="6" subtotal="count" baseField="1" baseItem="0"/>
  </dataFields>
  <formats count="17">
    <format dxfId="21">
      <pivotArea outline="0" collapsedLevelsAreSubtotals="1" fieldPosition="0"/>
    </format>
    <format dxfId="20">
      <pivotArea dataOnly="0" labelOnly="1" grandCol="1" outline="0" fieldPosition="0"/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type="origin" dataOnly="0" labelOnly="1" outline="0" fieldPosition="0"/>
    </format>
    <format dxfId="16">
      <pivotArea type="origin" dataOnly="0" labelOnly="1" outline="0" fieldPosition="0"/>
    </format>
    <format dxfId="15">
      <pivotArea dataOnly="0" labelOnly="1" fieldPosition="0">
        <references count="1">
          <reference field="19" count="1">
            <x v="1"/>
          </reference>
        </references>
      </pivotArea>
    </format>
    <format dxfId="14">
      <pivotArea dataOnly="0" labelOnly="1" fieldPosition="0">
        <references count="2">
          <reference field="14" count="2">
            <x v="1"/>
            <x v="3"/>
          </reference>
          <reference field="19" count="1" selected="0">
            <x v="1"/>
          </reference>
        </references>
      </pivotArea>
    </format>
    <format dxfId="13">
      <pivotArea dataOnly="0" labelOnly="1" fieldPosition="0">
        <references count="1">
          <reference field="19" count="1">
            <x v="1"/>
          </reference>
        </references>
      </pivotArea>
    </format>
    <format dxfId="12">
      <pivotArea dataOnly="0" labelOnly="1" offset="IV1" fieldPosition="0">
        <references count="1">
          <reference field="19" count="1" defaultSubtotal="1">
            <x v="1"/>
          </reference>
        </references>
      </pivotArea>
    </format>
    <format dxfId="11">
      <pivotArea dataOnly="0" labelOnly="1" offset="IV256" fieldPosition="0">
        <references count="1">
          <reference field="19" count="1" defaultSubtotal="1">
            <x v="1"/>
          </reference>
        </references>
      </pivotArea>
    </format>
    <format dxfId="10">
      <pivotArea outline="0" collapsedLevelsAreSubtotals="1" fieldPosition="0">
        <references count="1">
          <reference field="19" count="1" selected="0" defaultSubtotal="1">
            <x v="1"/>
          </reference>
        </references>
      </pivotArea>
    </format>
    <format dxfId="9">
      <pivotArea dataOnly="0" labelOnly="1" fieldPosition="0">
        <references count="1">
          <reference field="19" count="1">
            <x v="1"/>
          </reference>
        </references>
      </pivotArea>
    </format>
    <format dxfId="8">
      <pivotArea dataOnly="0" labelOnly="1" fieldPosition="0">
        <references count="1">
          <reference field="19" count="1" defaultSubtotal="1">
            <x v="1"/>
          </reference>
        </references>
      </pivotArea>
    </format>
    <format dxfId="7">
      <pivotArea dataOnly="0" labelOnly="1" fieldPosition="0">
        <references count="2">
          <reference field="14" count="2">
            <x v="1"/>
            <x v="3"/>
          </reference>
          <reference field="19" count="1" selected="0">
            <x v="1"/>
          </reference>
        </references>
      </pivotArea>
    </format>
    <format dxfId="6">
      <pivotArea field="14" type="button" dataOnly="0" labelOnly="1" outline="0" axis="axisCol" fieldPosition="1"/>
    </format>
    <format dxfId="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A89D7-732D-44AE-BC5B-FEB11733C234}" name="TablaDinámica2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rowHeaderCaption="País" colHeaderCaption="Filtros">
  <location ref="H5:K10" firstHeaderRow="1" firstDataRow="2" firstDataCol="1"/>
  <pivotFields count="20">
    <pivotField multipleItemSelectionAllowed="1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6">
        <item x="0"/>
        <item h="1" m="1" x="4"/>
        <item x="1"/>
        <item h="1" x="2"/>
        <item h="1" x="3"/>
        <item t="default"/>
      </items>
    </pivotField>
    <pivotField showAll="0"/>
    <pivotField showAll="0"/>
    <pivotField showAll="0"/>
    <pivotField showAll="0">
      <items count="6">
        <item x="2"/>
        <item x="1"/>
        <item m="1" x="4"/>
        <item x="3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2"/>
    </i>
    <i t="grand">
      <x/>
    </i>
  </colItems>
  <dataFields count="1">
    <dataField name="Vacantes Activas y Cerradas por país" fld="6" subtotal="count" baseField="1" baseItem="0"/>
  </dataFields>
  <formats count="4">
    <format dxfId="25">
      <pivotArea outline="0" collapsedLevelsAreSubtotals="1" fieldPosition="0"/>
    </format>
    <format dxfId="24">
      <pivotArea dataOnly="0" labelOnly="1" grandCol="1" outline="0" fieldPosition="0"/>
    </format>
    <format dxfId="23">
      <pivotArea dataOnly="0" labelOnly="1" grandCol="1" outline="0" fieldPosition="0"/>
    </format>
    <format dxfId="22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0AE01-A87D-4CF1-8E2C-65BDAD3923E7}" name="TablaDinámica1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>
  <location ref="A3:E19" firstHeaderRow="1" firstDataRow="2" firstDataCol="1" rowPageCount="1" colPageCount="1"/>
  <pivotFields count="20">
    <pivotField axis="axisPage" multipleItemSelectionAllowed="1" showAll="0">
      <items count="7">
        <item x="2"/>
        <item x="0"/>
        <item x="1"/>
        <item x="5"/>
        <item x="3"/>
        <item x="4"/>
        <item t="default"/>
      </items>
    </pivotField>
    <pivotField showAll="0"/>
    <pivotField showAll="0"/>
    <pivotField showAll="0"/>
    <pivotField axis="axisRow" showAll="0">
      <items count="34">
        <item x="1"/>
        <item x="0"/>
        <item x="3"/>
        <item x="2"/>
        <item x="13"/>
        <item x="7"/>
        <item x="8"/>
        <item m="1" x="31"/>
        <item x="9"/>
        <item x="5"/>
        <item x="12"/>
        <item x="11"/>
        <item x="10"/>
        <item x="6"/>
        <item h="1" x="27"/>
        <item m="1" x="32"/>
        <item h="1" x="14"/>
        <item h="1" x="15"/>
        <item h="1" x="16"/>
        <item h="1" x="17"/>
        <item h="1" m="1" x="30"/>
        <item x="22"/>
        <item h="1" x="20"/>
        <item h="1" x="21"/>
        <item h="1" x="4"/>
        <item h="1" x="23"/>
        <item h="1" x="18"/>
        <item h="1" x="19"/>
        <item h="1" x="24"/>
        <item h="1" x="25"/>
        <item h="1" x="26"/>
        <item h="1" m="1" x="29"/>
        <item h="1" x="28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6">
        <item x="0"/>
        <item m="1" x="4"/>
        <item x="1"/>
        <item x="2"/>
        <item x="3"/>
        <item t="default"/>
      </items>
    </pivotField>
    <pivotField showAll="0"/>
    <pivotField showAll="0"/>
    <pivotField showAll="0"/>
    <pivotField showAll="0">
      <items count="6">
        <item x="2"/>
        <item x="1"/>
        <item m="1" x="4"/>
        <item x="3"/>
        <item x="0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21"/>
    </i>
    <i t="grand">
      <x/>
    </i>
  </rowItems>
  <colFields count="1">
    <field x="10"/>
  </colFields>
  <colItems count="4">
    <i>
      <x/>
    </i>
    <i>
      <x v="2"/>
    </i>
    <i>
      <x v="3"/>
    </i>
    <i t="grand">
      <x/>
    </i>
  </colItems>
  <pageFields count="1">
    <pageField fld="0" hier="-1"/>
  </pageFields>
  <dataFields count="1">
    <dataField name="Cuenta de Líder" fld="6" subtotal="count" baseField="0" baseItem="0"/>
  </dataFields>
  <formats count="5">
    <format dxfId="30">
      <pivotArea outline="0" collapsedLevelsAreSubtotals="1" fieldPosition="0"/>
    </format>
    <format dxfId="29">
      <pivotArea dataOnly="0" labelOnly="1" fieldPosition="0">
        <references count="1">
          <reference field="10" count="0"/>
        </references>
      </pivotArea>
    </format>
    <format dxfId="28">
      <pivotArea dataOnly="0" labelOnly="1" grandCol="1" outline="0" fieldPosition="0"/>
    </format>
    <format dxfId="27">
      <pivotArea dataOnly="0" labelOnly="1" fieldPosition="0">
        <references count="1">
          <reference field="10" count="3">
            <x v="1"/>
            <x v="2"/>
            <x v="3"/>
          </reference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0633F-0AD8-45CC-929D-03D78594F1BF}" name="Tabla1" displayName="Tabla1" ref="A1:V148" totalsRowShown="0" tableBorderDxfId="53">
  <autoFilter ref="A1:V148" xr:uid="{9F50633F-0AD8-45CC-929D-03D78594F1BF}"/>
  <tableColumns count="22">
    <tableColumn id="1" xr3:uid="{054F248F-4BDD-4C4D-B921-09D0FC2CC57C}" name="HRBP" dataDxfId="52"/>
    <tableColumn id="2" xr3:uid="{018DCE68-0956-4C07-8B91-DF3E00BA11FD}" name="País" dataDxfId="51"/>
    <tableColumn id="3" xr3:uid="{C3ED2B41-99C3-4ADF-B921-23BEF27F7E15}" name="Coordinador TA Responsable" dataDxfId="50"/>
    <tableColumn id="4" xr3:uid="{9F6E6074-8AC3-43F1-A82E-4B1E27B80A23}" name="Equipo TA" dataDxfId="49"/>
    <tableColumn id="5" xr3:uid="{68090348-71A3-4DDA-A1A3-BB38DA3E04E1}" name="Gerencia" dataDxfId="48"/>
    <tableColumn id="6" xr3:uid="{1010E600-455F-4A3F-BC47-620650775604}" name="Motivo de Busqueda" dataDxfId="47"/>
    <tableColumn id="7" xr3:uid="{478ADB41-8DD3-43A5-B137-4F8233F237DC}" name="Líder" dataDxfId="46"/>
    <tableColumn id="8" xr3:uid="{6B707457-BC1C-4328-AA21-82EBA536D013}" name="Cargo" dataDxfId="45"/>
    <tableColumn id="9" xr3:uid="{F0FC4954-BA25-4E2A-9586-B358A7E98BDF}" name="Familia de cargo" dataDxfId="44"/>
    <tableColumn id="10" xr3:uid="{79A97276-342F-4812-A9AC-1277835005C4}" name="¿A quién reemplaza?" dataDxfId="43"/>
    <tableColumn id="11" xr3:uid="{497ED18C-72B3-4CEC-9EE6-1683472E8346}" name="Estado" dataDxfId="42"/>
    <tableColumn id="24" xr3:uid="{50F587F9-DAB8-4996-8939-CA779EFFAEAB}" name="Status 23 marzo" dataDxfId="41"/>
    <tableColumn id="12" xr3:uid="{8A291495-88FB-4BA2-AC12-CE118246C29D}" name="TTF" dataDxfId="40">
      <calculatedColumnFormula>IF(Tabla1[[#This Row],[Estado]]="Activa",NETWORKDAYS(Tabla1[[#This Row],[Fecha Inicio Búsqueda]],TODAY()),NETWORKDAYS(Tabla1[[#This Row],[Fecha Inicio Búsqueda]],Tabla1[[#This Row],[Fecha Cubierta Búsqueda]]))</calculatedColumnFormula>
    </tableColumn>
    <tableColumn id="13" xr3:uid="{9CD43B56-E337-4DAA-B601-782F6511681F}" name="Comentarios" dataDxfId="39"/>
    <tableColumn id="14" xr3:uid="{BDD36F31-2177-40A0-95C3-C4316C28F658}" name="Nombre candidato seleccionado" dataDxfId="38"/>
    <tableColumn id="15" xr3:uid="{FF2EAA09-1952-43E4-8FE6-37532C6F44D8}" name="Tipo de Movimiento" dataDxfId="37"/>
    <tableColumn id="16" xr3:uid="{DD8D5CF0-9A59-41C7-9699-8B94DEEC5D7E}" name="Fecha Ingreso" dataDxfId="36"/>
    <tableColumn id="17" xr3:uid="{FE6D5B0C-F442-4BEF-AF38-1EDC48B58F2B}" name="Fecha Inicio Búsqueda" dataDxfId="35"/>
    <tableColumn id="18" xr3:uid="{76B5CDC0-3AA4-4035-981A-59802B0BD7B6}" name="Fecha Cubierta Búsqueda" dataDxfId="34"/>
    <tableColumn id="19" xr3:uid="{494F2D09-7A57-4CF8-A46D-02812EF20CFD}" name="Ceco" dataDxfId="33"/>
    <tableColumn id="20" xr3:uid="{683AC3CC-C904-432D-9033-4A4F72007FDF}" name="Forecast" dataDxfId="32"/>
    <tableColumn id="21" xr3:uid="{4705C656-28DA-4831-9320-4B91D8D0B232}" name="Banda" dataDxfId="3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FBE3-54C8-4A46-802B-957F6B637130}">
  <dimension ref="A3:A39"/>
  <sheetViews>
    <sheetView workbookViewId="0">
      <selection activeCell="A40" sqref="A40"/>
    </sheetView>
  </sheetViews>
  <sheetFormatPr baseColWidth="10" defaultColWidth="11.44140625" defaultRowHeight="14.4" x14ac:dyDescent="0.3"/>
  <cols>
    <col min="1" max="1" width="23.5546875" customWidth="1"/>
  </cols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6" spans="1:1" x14ac:dyDescent="0.3">
      <c r="A26" t="s">
        <v>19</v>
      </c>
    </row>
    <row r="28" spans="1:1" x14ac:dyDescent="0.3">
      <c r="A28" t="s">
        <v>20</v>
      </c>
    </row>
    <row r="29" spans="1:1" x14ac:dyDescent="0.3">
      <c r="A29" t="s">
        <v>21</v>
      </c>
    </row>
    <row r="30" spans="1:1" x14ac:dyDescent="0.3">
      <c r="A30" t="s">
        <v>22</v>
      </c>
    </row>
    <row r="32" spans="1:1" x14ac:dyDescent="0.3">
      <c r="A32" t="s">
        <v>23</v>
      </c>
    </row>
    <row r="33" spans="1:1" x14ac:dyDescent="0.3">
      <c r="A33" t="s">
        <v>24</v>
      </c>
    </row>
    <row r="34" spans="1:1" x14ac:dyDescent="0.3">
      <c r="A34" t="s">
        <v>25</v>
      </c>
    </row>
    <row r="35" spans="1:1" x14ac:dyDescent="0.3">
      <c r="A35" t="s">
        <v>26</v>
      </c>
    </row>
    <row r="37" spans="1:1" x14ac:dyDescent="0.3">
      <c r="A37" t="s">
        <v>27</v>
      </c>
    </row>
    <row r="38" spans="1:1" x14ac:dyDescent="0.3">
      <c r="A38" t="s">
        <v>28</v>
      </c>
    </row>
    <row r="39" spans="1:1" x14ac:dyDescent="0.3">
      <c r="A39" t="s">
        <v>29</v>
      </c>
    </row>
  </sheetData>
  <dataValidations count="1">
    <dataValidation type="list" allowBlank="1" showInputMessage="1" showErrorMessage="1" sqref="A3:A6" xr:uid="{7719E362-69DD-4DFD-BA22-D33B50261EE8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5262-57C7-43FF-AB5F-7F253A029F0F}">
  <sheetPr>
    <tabColor rgb="FF92D050"/>
  </sheetPr>
  <dimension ref="A1:N24"/>
  <sheetViews>
    <sheetView zoomScale="90" zoomScaleNormal="90" workbookViewId="0">
      <selection activeCell="C18" sqref="C18"/>
    </sheetView>
  </sheetViews>
  <sheetFormatPr baseColWidth="10" defaultColWidth="11.44140625" defaultRowHeight="15" customHeight="1" x14ac:dyDescent="0.3"/>
  <cols>
    <col min="1" max="1" width="49.44140625" bestFit="1" customWidth="1"/>
    <col min="2" max="2" width="22.44140625" bestFit="1" customWidth="1"/>
    <col min="3" max="3" width="8.109375" bestFit="1" customWidth="1"/>
    <col min="4" max="4" width="8.5546875" bestFit="1" customWidth="1"/>
    <col min="5" max="5" width="12.44140625" bestFit="1" customWidth="1"/>
    <col min="6" max="6" width="7.33203125" bestFit="1" customWidth="1"/>
    <col min="7" max="7" width="11.44140625" bestFit="1" customWidth="1"/>
    <col min="8" max="8" width="34.33203125" customWidth="1"/>
    <col min="9" max="9" width="10" bestFit="1" customWidth="1"/>
    <col min="10" max="10" width="8.33203125" bestFit="1" customWidth="1"/>
    <col min="11" max="11" width="10.6640625" bestFit="1" customWidth="1"/>
    <col min="12" max="12" width="21.6640625" bestFit="1" customWidth="1"/>
    <col min="13" max="13" width="25.88671875" bestFit="1" customWidth="1"/>
    <col min="14" max="14" width="14.33203125" customWidth="1"/>
    <col min="15" max="16" width="11.88671875" bestFit="1" customWidth="1"/>
  </cols>
  <sheetData>
    <row r="1" spans="1:14" ht="14.4" x14ac:dyDescent="0.3">
      <c r="A1" s="30" t="s">
        <v>30</v>
      </c>
      <c r="B1" t="s">
        <v>31</v>
      </c>
    </row>
    <row r="3" spans="1:14" ht="14.4" x14ac:dyDescent="0.3">
      <c r="A3" s="30" t="s">
        <v>32</v>
      </c>
      <c r="B3" s="30" t="s">
        <v>33</v>
      </c>
    </row>
    <row r="4" spans="1:14" ht="28.8" x14ac:dyDescent="0.3">
      <c r="A4" s="30" t="s">
        <v>34</v>
      </c>
      <c r="B4" s="32" t="s">
        <v>23</v>
      </c>
      <c r="C4" s="41" t="s">
        <v>24</v>
      </c>
      <c r="D4" s="41" t="s">
        <v>26</v>
      </c>
      <c r="E4" s="41" t="s">
        <v>35</v>
      </c>
    </row>
    <row r="5" spans="1:14" ht="14.4" x14ac:dyDescent="0.3">
      <c r="A5" s="31" t="s">
        <v>36</v>
      </c>
      <c r="B5" s="188">
        <v>1</v>
      </c>
      <c r="C5" s="188">
        <v>1</v>
      </c>
      <c r="D5" s="188">
        <v>0</v>
      </c>
      <c r="E5" s="188">
        <v>2</v>
      </c>
      <c r="H5" s="126" t="s">
        <v>37</v>
      </c>
      <c r="I5" s="30" t="s">
        <v>38</v>
      </c>
    </row>
    <row r="6" spans="1:14" ht="28.8" x14ac:dyDescent="0.3">
      <c r="A6" s="31" t="s">
        <v>39</v>
      </c>
      <c r="B6" s="188">
        <v>1</v>
      </c>
      <c r="C6" s="188">
        <v>0</v>
      </c>
      <c r="D6" s="188">
        <v>0</v>
      </c>
      <c r="E6" s="188">
        <v>1</v>
      </c>
      <c r="H6" s="30" t="s">
        <v>40</v>
      </c>
      <c r="I6" t="s">
        <v>23</v>
      </c>
      <c r="J6" t="s">
        <v>24</v>
      </c>
      <c r="K6" s="41" t="s">
        <v>35</v>
      </c>
    </row>
    <row r="7" spans="1:14" ht="14.4" x14ac:dyDescent="0.3">
      <c r="A7" s="31" t="s">
        <v>41</v>
      </c>
      <c r="B7" s="188">
        <v>1</v>
      </c>
      <c r="C7" s="188">
        <v>1</v>
      </c>
      <c r="D7" s="188">
        <v>0</v>
      </c>
      <c r="E7" s="188">
        <v>2</v>
      </c>
      <c r="H7" s="31" t="s">
        <v>5</v>
      </c>
      <c r="I7" s="32">
        <v>49</v>
      </c>
      <c r="J7" s="32">
        <v>30</v>
      </c>
      <c r="K7" s="32">
        <v>79</v>
      </c>
    </row>
    <row r="8" spans="1:14" ht="14.4" x14ac:dyDescent="0.3">
      <c r="A8" s="31" t="s">
        <v>42</v>
      </c>
      <c r="B8" s="188">
        <v>0</v>
      </c>
      <c r="C8" s="188">
        <v>1</v>
      </c>
      <c r="D8" s="188">
        <v>0</v>
      </c>
      <c r="E8" s="188">
        <v>1</v>
      </c>
      <c r="H8" s="31" t="s">
        <v>7</v>
      </c>
      <c r="I8" s="32">
        <v>2</v>
      </c>
      <c r="J8" s="32">
        <v>4</v>
      </c>
      <c r="K8" s="32">
        <v>6</v>
      </c>
    </row>
    <row r="9" spans="1:14" ht="14.4" x14ac:dyDescent="0.3">
      <c r="A9" s="31" t="s">
        <v>43</v>
      </c>
      <c r="B9" s="188">
        <v>1</v>
      </c>
      <c r="C9" s="188">
        <v>1</v>
      </c>
      <c r="D9" s="188">
        <v>0</v>
      </c>
      <c r="E9" s="188">
        <v>2</v>
      </c>
      <c r="H9" s="31" t="s">
        <v>6</v>
      </c>
      <c r="I9" s="32">
        <v>13</v>
      </c>
      <c r="J9" s="32">
        <v>11</v>
      </c>
      <c r="K9" s="32">
        <v>24</v>
      </c>
    </row>
    <row r="10" spans="1:14" ht="14.4" x14ac:dyDescent="0.3">
      <c r="A10" s="31" t="s">
        <v>44</v>
      </c>
      <c r="B10" s="188">
        <v>3</v>
      </c>
      <c r="C10" s="188">
        <v>2</v>
      </c>
      <c r="D10" s="188">
        <v>0</v>
      </c>
      <c r="E10" s="188">
        <v>5</v>
      </c>
      <c r="H10" s="31" t="s">
        <v>35</v>
      </c>
      <c r="I10" s="32">
        <v>64</v>
      </c>
      <c r="J10" s="32">
        <v>45</v>
      </c>
      <c r="K10" s="32">
        <v>109</v>
      </c>
    </row>
    <row r="11" spans="1:14" ht="14.4" x14ac:dyDescent="0.3">
      <c r="A11" s="31" t="s">
        <v>45</v>
      </c>
      <c r="B11" s="188">
        <v>29</v>
      </c>
      <c r="C11" s="188">
        <v>20</v>
      </c>
      <c r="D11" s="188">
        <v>0</v>
      </c>
      <c r="E11" s="188">
        <v>49</v>
      </c>
    </row>
    <row r="12" spans="1:14" ht="14.4" x14ac:dyDescent="0.3">
      <c r="A12" s="31" t="s">
        <v>46</v>
      </c>
      <c r="B12" s="188">
        <v>3</v>
      </c>
      <c r="C12" s="188">
        <v>2</v>
      </c>
      <c r="D12" s="188">
        <v>0</v>
      </c>
      <c r="E12" s="188">
        <v>5</v>
      </c>
    </row>
    <row r="13" spans="1:14" ht="14.4" x14ac:dyDescent="0.3">
      <c r="A13" s="31" t="s">
        <v>47</v>
      </c>
      <c r="B13" s="188">
        <v>0</v>
      </c>
      <c r="C13" s="188">
        <v>1</v>
      </c>
      <c r="D13" s="188">
        <v>0</v>
      </c>
      <c r="E13" s="188">
        <v>1</v>
      </c>
    </row>
    <row r="14" spans="1:14" ht="14.4" x14ac:dyDescent="0.3">
      <c r="A14" s="31" t="s">
        <v>48</v>
      </c>
      <c r="B14" s="188">
        <v>2</v>
      </c>
      <c r="C14" s="188">
        <v>0</v>
      </c>
      <c r="D14" s="188">
        <v>0</v>
      </c>
      <c r="E14" s="188">
        <v>2</v>
      </c>
      <c r="H14" s="30" t="s">
        <v>49</v>
      </c>
      <c r="I14" t="s">
        <v>24</v>
      </c>
    </row>
    <row r="15" spans="1:14" ht="14.4" x14ac:dyDescent="0.3">
      <c r="A15" s="31" t="s">
        <v>50</v>
      </c>
      <c r="B15" s="188">
        <v>0</v>
      </c>
      <c r="C15" s="188">
        <v>1</v>
      </c>
      <c r="D15" s="188">
        <v>1</v>
      </c>
      <c r="E15" s="188">
        <v>2</v>
      </c>
    </row>
    <row r="16" spans="1:14" ht="14.4" x14ac:dyDescent="0.3">
      <c r="A16" s="31" t="s">
        <v>51</v>
      </c>
      <c r="B16" s="188">
        <v>4</v>
      </c>
      <c r="C16" s="188">
        <v>0</v>
      </c>
      <c r="D16" s="188">
        <v>0</v>
      </c>
      <c r="E16" s="188">
        <v>4</v>
      </c>
      <c r="H16" s="126" t="s">
        <v>52</v>
      </c>
      <c r="I16" s="30" t="s">
        <v>38</v>
      </c>
      <c r="J16" s="160"/>
      <c r="K16" s="160"/>
      <c r="L16" s="160"/>
      <c r="M16" s="160"/>
      <c r="N16" s="160"/>
    </row>
    <row r="17" spans="1:14" ht="14.4" x14ac:dyDescent="0.3">
      <c r="A17" s="31" t="s">
        <v>53</v>
      </c>
      <c r="B17" s="188">
        <v>1</v>
      </c>
      <c r="C17" s="188">
        <v>0</v>
      </c>
      <c r="D17" s="188">
        <v>0</v>
      </c>
      <c r="E17" s="188">
        <v>1</v>
      </c>
      <c r="H17" s="126"/>
      <c r="I17" t="s">
        <v>22</v>
      </c>
      <c r="J17" s="156" t="s">
        <v>54</v>
      </c>
      <c r="K17" s="157"/>
      <c r="L17" s="158" t="s">
        <v>55</v>
      </c>
      <c r="M17" t="s">
        <v>56</v>
      </c>
      <c r="N17" s="41" t="s">
        <v>57</v>
      </c>
    </row>
    <row r="18" spans="1:14" ht="14.4" x14ac:dyDescent="0.3">
      <c r="A18" s="31" t="s">
        <v>441</v>
      </c>
      <c r="B18" s="188">
        <v>0</v>
      </c>
      <c r="C18" s="188">
        <v>1</v>
      </c>
      <c r="D18" s="188">
        <v>0</v>
      </c>
      <c r="E18" s="188">
        <v>1</v>
      </c>
      <c r="H18" s="30" t="s">
        <v>40</v>
      </c>
      <c r="J18" s="156" t="s">
        <v>20</v>
      </c>
      <c r="K18" s="157" t="s">
        <v>21</v>
      </c>
      <c r="L18" s="159"/>
      <c r="N18" s="41"/>
    </row>
    <row r="19" spans="1:14" ht="14.4" x14ac:dyDescent="0.3">
      <c r="A19" s="31" t="s">
        <v>35</v>
      </c>
      <c r="B19" s="188">
        <v>46</v>
      </c>
      <c r="C19" s="188">
        <v>31</v>
      </c>
      <c r="D19" s="188">
        <v>1</v>
      </c>
      <c r="E19" s="188">
        <v>78</v>
      </c>
      <c r="H19" s="31" t="s">
        <v>5</v>
      </c>
      <c r="I19" s="32">
        <v>7</v>
      </c>
      <c r="J19" s="32">
        <v>3</v>
      </c>
      <c r="K19" s="32">
        <v>3</v>
      </c>
      <c r="L19" s="163">
        <v>6</v>
      </c>
      <c r="M19" s="32">
        <v>17</v>
      </c>
      <c r="N19" s="32">
        <v>30</v>
      </c>
    </row>
    <row r="20" spans="1:14" ht="14.4" x14ac:dyDescent="0.3">
      <c r="H20" s="31" t="s">
        <v>7</v>
      </c>
      <c r="I20" s="32">
        <v>3</v>
      </c>
      <c r="J20" s="32">
        <v>1</v>
      </c>
      <c r="K20" s="32">
        <v>0</v>
      </c>
      <c r="L20" s="164">
        <v>1</v>
      </c>
      <c r="M20" s="32">
        <v>0</v>
      </c>
      <c r="N20" s="32">
        <v>4</v>
      </c>
    </row>
    <row r="21" spans="1:14" ht="14.4" x14ac:dyDescent="0.3">
      <c r="H21" s="31" t="s">
        <v>6</v>
      </c>
      <c r="I21" s="32">
        <v>2</v>
      </c>
      <c r="J21" s="32">
        <v>3</v>
      </c>
      <c r="K21" s="32">
        <v>0</v>
      </c>
      <c r="L21" s="164">
        <v>3</v>
      </c>
      <c r="M21" s="32">
        <v>6</v>
      </c>
      <c r="N21" s="32">
        <v>11</v>
      </c>
    </row>
    <row r="22" spans="1:14" ht="14.4" x14ac:dyDescent="0.3">
      <c r="H22" s="31" t="s">
        <v>57</v>
      </c>
      <c r="I22" s="32">
        <v>12</v>
      </c>
      <c r="J22" s="32">
        <v>7</v>
      </c>
      <c r="K22" s="32">
        <v>3</v>
      </c>
      <c r="L22" s="165">
        <v>10</v>
      </c>
      <c r="M22" s="32">
        <v>23</v>
      </c>
      <c r="N22" s="32">
        <v>45</v>
      </c>
    </row>
    <row r="23" spans="1:14" ht="14.4" x14ac:dyDescent="0.3">
      <c r="A23" t="s">
        <v>58</v>
      </c>
    </row>
    <row r="24" spans="1:14" ht="14.4" x14ac:dyDescent="0.3">
      <c r="A2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F69D-AFE6-413B-A5B9-ECCB2A72A8F3}">
  <dimension ref="C3:C6"/>
  <sheetViews>
    <sheetView workbookViewId="0"/>
  </sheetViews>
  <sheetFormatPr baseColWidth="10" defaultColWidth="8.6640625" defaultRowHeight="14.4" x14ac:dyDescent="0.3"/>
  <sheetData>
    <row r="3" spans="3:3" x14ac:dyDescent="0.3">
      <c r="C3" t="s">
        <v>23</v>
      </c>
    </row>
    <row r="4" spans="3:3" x14ac:dyDescent="0.3">
      <c r="C4" t="s">
        <v>26</v>
      </c>
    </row>
    <row r="5" spans="3:3" x14ac:dyDescent="0.3">
      <c r="C5" t="s">
        <v>24</v>
      </c>
    </row>
    <row r="6" spans="3:3" x14ac:dyDescent="0.3">
      <c r="C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15E3-2BF8-4440-95D6-2B58115A97A9}">
  <sheetPr>
    <tabColor rgb="FF0070C0"/>
  </sheetPr>
  <dimension ref="A1:BC148"/>
  <sheetViews>
    <sheetView tabSelected="1" zoomScaleNormal="100" workbookViewId="0">
      <selection activeCell="P121" sqref="A121:XFD121"/>
    </sheetView>
  </sheetViews>
  <sheetFormatPr baseColWidth="10" defaultColWidth="11.44140625" defaultRowHeight="14.4" x14ac:dyDescent="0.3"/>
  <cols>
    <col min="1" max="1" width="17.5546875" bestFit="1" customWidth="1"/>
    <col min="2" max="2" width="9" bestFit="1" customWidth="1"/>
    <col min="3" max="3" width="28" bestFit="1" customWidth="1"/>
    <col min="4" max="4" width="13.5546875" bestFit="1" customWidth="1"/>
    <col min="5" max="5" width="46.44140625" bestFit="1" customWidth="1"/>
    <col min="6" max="6" width="13.77734375" bestFit="1" customWidth="1"/>
    <col min="7" max="7" width="26.44140625" bestFit="1" customWidth="1"/>
    <col min="8" max="8" width="50.77734375" style="38" bestFit="1" customWidth="1"/>
    <col min="9" max="9" width="20.88671875" bestFit="1" customWidth="1"/>
    <col min="10" max="10" width="22.6640625" bestFit="1" customWidth="1"/>
    <col min="11" max="11" width="11.109375" bestFit="1" customWidth="1"/>
    <col min="12" max="12" width="21.21875" bestFit="1" customWidth="1"/>
    <col min="13" max="13" width="8.21875" bestFit="1" customWidth="1"/>
    <col min="14" max="14" width="46.21875" style="14" bestFit="1" customWidth="1"/>
    <col min="15" max="15" width="32.77734375" style="14" bestFit="1" customWidth="1"/>
    <col min="16" max="16" width="21.6640625" style="14" bestFit="1" customWidth="1"/>
    <col min="17" max="17" width="16.77734375" style="64" bestFit="1" customWidth="1"/>
    <col min="18" max="18" width="24.109375" style="147" bestFit="1" customWidth="1"/>
    <col min="19" max="19" width="26.77734375" style="147" bestFit="1" customWidth="1"/>
    <col min="20" max="20" width="54.21875" bestFit="1" customWidth="1"/>
    <col min="21" max="21" width="12.6640625" bestFit="1" customWidth="1"/>
    <col min="22" max="22" width="11.109375" bestFit="1" customWidth="1"/>
  </cols>
  <sheetData>
    <row r="1" spans="1:22" ht="28.8" x14ac:dyDescent="0.3">
      <c r="A1" s="11" t="s">
        <v>30</v>
      </c>
      <c r="B1" s="11" t="s">
        <v>40</v>
      </c>
      <c r="C1" s="12" t="s">
        <v>60</v>
      </c>
      <c r="D1" s="11" t="s">
        <v>61</v>
      </c>
      <c r="E1" s="91" t="s">
        <v>62</v>
      </c>
      <c r="F1" s="22" t="s">
        <v>63</v>
      </c>
      <c r="G1" s="91" t="s">
        <v>64</v>
      </c>
      <c r="H1" s="91" t="s">
        <v>65</v>
      </c>
      <c r="I1" s="91" t="s">
        <v>66</v>
      </c>
      <c r="J1" s="22" t="s">
        <v>67</v>
      </c>
      <c r="K1" s="91" t="s">
        <v>49</v>
      </c>
      <c r="L1" s="187" t="s">
        <v>68</v>
      </c>
      <c r="M1" s="91" t="s">
        <v>69</v>
      </c>
      <c r="N1" s="22" t="s">
        <v>70</v>
      </c>
      <c r="O1" s="22" t="s">
        <v>71</v>
      </c>
      <c r="P1" s="22" t="s">
        <v>72</v>
      </c>
      <c r="Q1" s="65" t="s">
        <v>73</v>
      </c>
      <c r="R1" s="65" t="s">
        <v>74</v>
      </c>
      <c r="S1" s="65" t="s">
        <v>75</v>
      </c>
      <c r="T1" s="22" t="s">
        <v>76</v>
      </c>
      <c r="U1" s="40" t="s">
        <v>77</v>
      </c>
      <c r="V1" s="40" t="s">
        <v>78</v>
      </c>
    </row>
    <row r="2" spans="1:22" ht="43.2" x14ac:dyDescent="0.3">
      <c r="A2" s="1" t="s">
        <v>0</v>
      </c>
      <c r="B2" s="6" t="s">
        <v>5</v>
      </c>
      <c r="C2" s="1" t="s">
        <v>79</v>
      </c>
      <c r="D2" s="2" t="s">
        <v>8</v>
      </c>
      <c r="E2" s="13" t="s">
        <v>39</v>
      </c>
      <c r="F2" s="81" t="s">
        <v>12</v>
      </c>
      <c r="G2" s="1" t="s">
        <v>80</v>
      </c>
      <c r="H2" s="75" t="s">
        <v>81</v>
      </c>
      <c r="I2" s="1" t="s">
        <v>16</v>
      </c>
      <c r="J2" s="1" t="s">
        <v>82</v>
      </c>
      <c r="K2" s="15" t="s">
        <v>25</v>
      </c>
      <c r="L2" s="15"/>
      <c r="M2" s="15">
        <f ca="1">IF(Tabla1[[#This Row],[Estado]]="Activa",NETWORKDAYS(Tabla1[[#This Row],[Fecha Inicio Búsqueda]],TODAY()),NETWORKDAYS(Tabla1[[#This Row],[Fecha Inicio Búsqueda]],Tabla1[[#This Row],[Fecha Cubierta Búsqueda]]))</f>
        <v>24</v>
      </c>
      <c r="N2" s="90" t="s">
        <v>579</v>
      </c>
      <c r="O2" s="90"/>
      <c r="P2" s="90"/>
      <c r="Q2" s="1"/>
      <c r="R2" s="125">
        <v>46035</v>
      </c>
      <c r="S2" s="125">
        <v>46066</v>
      </c>
      <c r="T2" s="35"/>
      <c r="U2" s="55" t="s">
        <v>83</v>
      </c>
      <c r="V2" s="10"/>
    </row>
    <row r="3" spans="1:22" ht="28.8" x14ac:dyDescent="0.3">
      <c r="A3" s="1" t="s">
        <v>0</v>
      </c>
      <c r="B3" s="6" t="s">
        <v>5</v>
      </c>
      <c r="C3" s="7" t="s">
        <v>79</v>
      </c>
      <c r="D3" s="39" t="s">
        <v>8</v>
      </c>
      <c r="E3" s="68" t="s">
        <v>36</v>
      </c>
      <c r="F3" s="86" t="s">
        <v>11</v>
      </c>
      <c r="G3" s="28" t="s">
        <v>84</v>
      </c>
      <c r="H3" s="76" t="s">
        <v>85</v>
      </c>
      <c r="I3" s="7" t="s">
        <v>17</v>
      </c>
      <c r="J3" s="7" t="s">
        <v>86</v>
      </c>
      <c r="K3" s="16" t="s">
        <v>24</v>
      </c>
      <c r="L3" s="16"/>
      <c r="M3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3" s="8"/>
      <c r="O3" s="107" t="s">
        <v>87</v>
      </c>
      <c r="P3" s="68" t="s">
        <v>20</v>
      </c>
      <c r="Q3" s="92">
        <v>46054</v>
      </c>
      <c r="R3" s="93"/>
      <c r="S3" s="93"/>
      <c r="T3" s="89" t="s">
        <v>88</v>
      </c>
      <c r="U3" s="72" t="s">
        <v>89</v>
      </c>
      <c r="V3" s="10"/>
    </row>
    <row r="4" spans="1:22" x14ac:dyDescent="0.3">
      <c r="A4" s="1" t="s">
        <v>0</v>
      </c>
      <c r="B4" s="57" t="s">
        <v>5</v>
      </c>
      <c r="C4" s="1" t="s">
        <v>79</v>
      </c>
      <c r="D4" s="1" t="s">
        <v>8</v>
      </c>
      <c r="E4" s="13" t="s">
        <v>42</v>
      </c>
      <c r="F4" s="81" t="s">
        <v>11</v>
      </c>
      <c r="G4" s="1" t="s">
        <v>90</v>
      </c>
      <c r="H4" s="75" t="s">
        <v>91</v>
      </c>
      <c r="I4" s="1" t="s">
        <v>17</v>
      </c>
      <c r="J4" s="1" t="s">
        <v>92</v>
      </c>
      <c r="K4" s="15" t="s">
        <v>24</v>
      </c>
      <c r="L4" s="15"/>
      <c r="M4" s="15">
        <f ca="1">IF(Tabla1[[#This Row],[Estado]]="Activa",NETWORKDAYS(Tabla1[[#This Row],[Fecha Inicio Búsqueda]],TODAY()),NETWORKDAYS(Tabla1[[#This Row],[Fecha Inicio Búsqueda]],Tabla1[[#This Row],[Fecha Cubierta Búsqueda]]))</f>
        <v>0</v>
      </c>
      <c r="N4" s="13"/>
      <c r="O4" s="13" t="s">
        <v>93</v>
      </c>
      <c r="P4" s="13"/>
      <c r="Q4" s="77"/>
      <c r="R4" s="77"/>
      <c r="S4" s="77"/>
      <c r="T4" s="35"/>
      <c r="U4" s="35" t="s">
        <v>83</v>
      </c>
      <c r="V4" s="105"/>
    </row>
    <row r="5" spans="1:22" ht="43.2" x14ac:dyDescent="0.3">
      <c r="A5" s="1" t="s">
        <v>0</v>
      </c>
      <c r="B5" s="19" t="s">
        <v>5</v>
      </c>
      <c r="C5" s="7" t="s">
        <v>79</v>
      </c>
      <c r="D5" s="21" t="s">
        <v>8</v>
      </c>
      <c r="E5" s="34" t="s">
        <v>41</v>
      </c>
      <c r="F5" s="81" t="s">
        <v>12</v>
      </c>
      <c r="G5" s="35" t="s">
        <v>84</v>
      </c>
      <c r="H5" s="75" t="s">
        <v>85</v>
      </c>
      <c r="I5" s="1" t="s">
        <v>17</v>
      </c>
      <c r="J5" s="1" t="s">
        <v>94</v>
      </c>
      <c r="K5" s="15" t="s">
        <v>23</v>
      </c>
      <c r="L5" s="16"/>
      <c r="M5" s="16">
        <f ca="1">IF(Tabla1[[#This Row],[Estado]]="Activa",NETWORKDAYS(Tabla1[[#This Row],[Fecha Inicio Búsqueda]],TODAY()),NETWORKDAYS(Tabla1[[#This Row],[Fecha Inicio Búsqueda]],Tabla1[[#This Row],[Fecha Cubierta Búsqueda]]))</f>
        <v>47</v>
      </c>
      <c r="N5" s="34" t="s">
        <v>95</v>
      </c>
      <c r="O5" s="34"/>
      <c r="P5" s="34"/>
      <c r="Q5" s="35"/>
      <c r="R5" s="42">
        <v>46040</v>
      </c>
      <c r="S5" s="35"/>
      <c r="T5" s="35"/>
      <c r="U5" s="55" t="s">
        <v>89</v>
      </c>
      <c r="V5" s="10"/>
    </row>
    <row r="6" spans="1:22" ht="28.8" x14ac:dyDescent="0.3">
      <c r="A6" s="1" t="s">
        <v>0</v>
      </c>
      <c r="B6" s="19" t="s">
        <v>5</v>
      </c>
      <c r="C6" s="7" t="s">
        <v>79</v>
      </c>
      <c r="D6" s="21" t="s">
        <v>8</v>
      </c>
      <c r="E6" s="34" t="s">
        <v>41</v>
      </c>
      <c r="F6" s="81" t="s">
        <v>11</v>
      </c>
      <c r="G6" s="35" t="s">
        <v>84</v>
      </c>
      <c r="H6" s="75" t="s">
        <v>96</v>
      </c>
      <c r="I6" s="1" t="s">
        <v>16</v>
      </c>
      <c r="J6" s="1" t="s">
        <v>97</v>
      </c>
      <c r="K6" s="15" t="s">
        <v>24</v>
      </c>
      <c r="L6" s="16"/>
      <c r="M6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6" s="34"/>
      <c r="O6" s="34" t="s">
        <v>98</v>
      </c>
      <c r="P6" s="34" t="s">
        <v>20</v>
      </c>
      <c r="Q6" s="35"/>
      <c r="R6" s="35"/>
      <c r="S6" s="35"/>
      <c r="T6" s="35"/>
      <c r="U6" s="55" t="s">
        <v>89</v>
      </c>
      <c r="V6" s="10"/>
    </row>
    <row r="7" spans="1:22" x14ac:dyDescent="0.3">
      <c r="A7" s="1"/>
      <c r="B7" s="19"/>
      <c r="C7" s="7"/>
      <c r="D7" s="21"/>
      <c r="E7" s="34"/>
      <c r="F7" s="81"/>
      <c r="G7" s="35"/>
      <c r="H7" s="75"/>
      <c r="I7" s="1"/>
      <c r="J7" s="1"/>
      <c r="K7" s="15"/>
      <c r="L7" s="16"/>
      <c r="M7" s="16"/>
      <c r="N7" s="34"/>
      <c r="O7" s="34"/>
      <c r="P7" s="34"/>
      <c r="Q7" s="35"/>
      <c r="R7" s="42"/>
      <c r="S7" s="35"/>
      <c r="T7" s="35"/>
      <c r="U7" s="55"/>
      <c r="V7" s="10"/>
    </row>
    <row r="8" spans="1:22" x14ac:dyDescent="0.3">
      <c r="A8" s="1" t="s">
        <v>0</v>
      </c>
      <c r="B8" s="19" t="s">
        <v>5</v>
      </c>
      <c r="C8" s="7" t="s">
        <v>99</v>
      </c>
      <c r="D8" s="21" t="s">
        <v>8</v>
      </c>
      <c r="E8" s="34" t="s">
        <v>47</v>
      </c>
      <c r="F8" s="81" t="s">
        <v>12</v>
      </c>
      <c r="G8" s="35" t="s">
        <v>100</v>
      </c>
      <c r="H8" s="75" t="s">
        <v>101</v>
      </c>
      <c r="I8" s="1" t="s">
        <v>16</v>
      </c>
      <c r="J8" s="1" t="s">
        <v>94</v>
      </c>
      <c r="K8" s="15" t="s">
        <v>24</v>
      </c>
      <c r="L8" s="16"/>
      <c r="M8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8" s="34"/>
      <c r="O8" s="34" t="s">
        <v>102</v>
      </c>
      <c r="P8" s="34" t="s">
        <v>20</v>
      </c>
      <c r="Q8" s="35"/>
      <c r="R8" s="35"/>
      <c r="S8" s="35"/>
      <c r="T8" s="35"/>
      <c r="U8" s="55" t="s">
        <v>83</v>
      </c>
      <c r="V8" s="10"/>
    </row>
    <row r="9" spans="1:22" ht="72" x14ac:dyDescent="0.3">
      <c r="A9" s="1" t="s">
        <v>0</v>
      </c>
      <c r="B9" s="19" t="s">
        <v>5</v>
      </c>
      <c r="C9" s="7" t="s">
        <v>99</v>
      </c>
      <c r="D9" s="21" t="s">
        <v>8</v>
      </c>
      <c r="E9" s="34" t="s">
        <v>53</v>
      </c>
      <c r="F9" s="81" t="s">
        <v>11</v>
      </c>
      <c r="G9" s="35" t="s">
        <v>103</v>
      </c>
      <c r="H9" s="75" t="s">
        <v>104</v>
      </c>
      <c r="I9" s="1" t="s">
        <v>17</v>
      </c>
      <c r="J9" s="1" t="s">
        <v>100</v>
      </c>
      <c r="K9" s="15" t="s">
        <v>23</v>
      </c>
      <c r="L9" s="16"/>
      <c r="M9" s="16">
        <f ca="1">IF(Tabla1[[#This Row],[Estado]]="Activa",NETWORKDAYS(Tabla1[[#This Row],[Fecha Inicio Búsqueda]],TODAY()),NETWORKDAYS(Tabla1[[#This Row],[Fecha Inicio Búsqueda]],Tabla1[[#This Row],[Fecha Cubierta Búsqueda]]))</f>
        <v>54</v>
      </c>
      <c r="N9" s="34" t="s">
        <v>105</v>
      </c>
      <c r="O9" s="34"/>
      <c r="P9" s="34"/>
      <c r="Q9" s="35"/>
      <c r="R9" s="42">
        <v>46030</v>
      </c>
      <c r="S9" s="35"/>
      <c r="T9" s="35"/>
      <c r="U9" s="55" t="s">
        <v>83</v>
      </c>
      <c r="V9" s="10"/>
    </row>
    <row r="10" spans="1:22" ht="57.6" x14ac:dyDescent="0.3">
      <c r="A10" s="1" t="s">
        <v>0</v>
      </c>
      <c r="B10" s="19" t="s">
        <v>5</v>
      </c>
      <c r="C10" s="7" t="s">
        <v>106</v>
      </c>
      <c r="D10" s="21" t="s">
        <v>9</v>
      </c>
      <c r="E10" s="34" t="s">
        <v>44</v>
      </c>
      <c r="F10" s="81" t="s">
        <v>11</v>
      </c>
      <c r="G10" s="35" t="s">
        <v>107</v>
      </c>
      <c r="H10" s="75" t="s">
        <v>108</v>
      </c>
      <c r="I10" s="1" t="s">
        <v>18</v>
      </c>
      <c r="J10" s="1" t="s">
        <v>94</v>
      </c>
      <c r="K10" s="15" t="s">
        <v>23</v>
      </c>
      <c r="L10" s="16"/>
      <c r="M10" s="16">
        <f ca="1">IF(Tabla1[[#This Row],[Estado]]="Activa",NETWORKDAYS(Tabla1[[#This Row],[Fecha Inicio Búsqueda]],TODAY()),NETWORKDAYS(Tabla1[[#This Row],[Fecha Inicio Búsqueda]],Tabla1[[#This Row],[Fecha Cubierta Búsqueda]]))</f>
        <v>57</v>
      </c>
      <c r="N10" s="34" t="s">
        <v>109</v>
      </c>
      <c r="O10" s="34"/>
      <c r="P10" s="34"/>
      <c r="Q10" s="35"/>
      <c r="R10" s="42">
        <v>46027</v>
      </c>
      <c r="S10" s="35"/>
      <c r="T10" s="35"/>
      <c r="U10" s="55" t="s">
        <v>110</v>
      </c>
      <c r="V10" s="10"/>
    </row>
    <row r="11" spans="1:22" ht="43.2" x14ac:dyDescent="0.3">
      <c r="A11" s="1" t="s">
        <v>0</v>
      </c>
      <c r="B11" s="19" t="s">
        <v>5</v>
      </c>
      <c r="C11" s="7" t="s">
        <v>106</v>
      </c>
      <c r="D11" s="21" t="s">
        <v>9</v>
      </c>
      <c r="E11" s="34" t="s">
        <v>44</v>
      </c>
      <c r="F11" s="81" t="s">
        <v>12</v>
      </c>
      <c r="G11" s="35" t="s">
        <v>107</v>
      </c>
      <c r="H11" s="75" t="s">
        <v>111</v>
      </c>
      <c r="I11" s="1" t="s">
        <v>18</v>
      </c>
      <c r="J11" s="1" t="s">
        <v>94</v>
      </c>
      <c r="K11" s="15" t="s">
        <v>23</v>
      </c>
      <c r="L11" s="16"/>
      <c r="M11" s="16">
        <f ca="1">IF(Tabla1[[#This Row],[Estado]]="Activa",NETWORKDAYS(Tabla1[[#This Row],[Fecha Inicio Búsqueda]],TODAY()),NETWORKDAYS(Tabla1[[#This Row],[Fecha Inicio Búsqueda]],Tabla1[[#This Row],[Fecha Cubierta Búsqueda]]))</f>
        <v>62</v>
      </c>
      <c r="N11" s="34" t="s">
        <v>112</v>
      </c>
      <c r="O11" s="34"/>
      <c r="P11" s="34"/>
      <c r="Q11" s="35"/>
      <c r="R11" s="42">
        <v>46020</v>
      </c>
      <c r="S11" s="35"/>
      <c r="T11" s="35"/>
      <c r="U11" s="55" t="s">
        <v>110</v>
      </c>
      <c r="V11" s="10"/>
    </row>
    <row r="12" spans="1:22" x14ac:dyDescent="0.3">
      <c r="A12" s="1" t="s">
        <v>0</v>
      </c>
      <c r="B12" s="19" t="s">
        <v>5</v>
      </c>
      <c r="C12" s="7" t="s">
        <v>113</v>
      </c>
      <c r="D12" s="87" t="s">
        <v>8</v>
      </c>
      <c r="E12" s="44" t="s">
        <v>114</v>
      </c>
      <c r="F12" s="81" t="s">
        <v>11</v>
      </c>
      <c r="G12" s="35" t="s">
        <v>115</v>
      </c>
      <c r="H12" s="75" t="s">
        <v>116</v>
      </c>
      <c r="I12" s="1" t="s">
        <v>16</v>
      </c>
      <c r="J12" s="1" t="s">
        <v>117</v>
      </c>
      <c r="K12" s="15" t="s">
        <v>23</v>
      </c>
      <c r="L12" s="16"/>
      <c r="M12" s="16">
        <f ca="1">IF(Tabla1[[#This Row],[Estado]]="Activa",NETWORKDAYS(Tabla1[[#This Row],[Fecha Inicio Búsqueda]],TODAY()),NETWORKDAYS(Tabla1[[#This Row],[Fecha Inicio Búsqueda]],Tabla1[[#This Row],[Fecha Cubierta Búsqueda]]))</f>
        <v>43</v>
      </c>
      <c r="N12" s="34" t="s">
        <v>118</v>
      </c>
      <c r="O12" s="50"/>
      <c r="P12" s="50"/>
      <c r="Q12" s="74"/>
      <c r="R12" s="42">
        <v>46045</v>
      </c>
      <c r="S12" s="74"/>
      <c r="T12" s="74"/>
      <c r="U12" s="55" t="s">
        <v>83</v>
      </c>
      <c r="V12" s="10"/>
    </row>
    <row r="13" spans="1:22" x14ac:dyDescent="0.3">
      <c r="A13" s="1" t="s">
        <v>0</v>
      </c>
      <c r="B13" s="19" t="s">
        <v>5</v>
      </c>
      <c r="C13" s="39" t="s">
        <v>113</v>
      </c>
      <c r="D13" s="1" t="s">
        <v>8</v>
      </c>
      <c r="E13" s="78" t="s">
        <v>114</v>
      </c>
      <c r="F13" s="81" t="s">
        <v>11</v>
      </c>
      <c r="G13" s="35" t="s">
        <v>115</v>
      </c>
      <c r="H13" s="75" t="s">
        <v>116</v>
      </c>
      <c r="I13" s="1" t="s">
        <v>16</v>
      </c>
      <c r="J13" s="1" t="s">
        <v>119</v>
      </c>
      <c r="K13" s="15" t="s">
        <v>23</v>
      </c>
      <c r="L13" s="16"/>
      <c r="M13" s="16">
        <f ca="1">IF(Tabla1[[#This Row],[Estado]]="Activa",NETWORKDAYS(Tabla1[[#This Row],[Fecha Inicio Búsqueda]],TODAY()),NETWORKDAYS(Tabla1[[#This Row],[Fecha Inicio Búsqueda]],Tabla1[[#This Row],[Fecha Cubierta Búsqueda]]))</f>
        <v>43</v>
      </c>
      <c r="N13" s="49"/>
      <c r="O13" s="34"/>
      <c r="P13" s="34"/>
      <c r="Q13" s="35"/>
      <c r="R13" s="42">
        <v>46045</v>
      </c>
      <c r="S13" s="35"/>
      <c r="T13" s="35"/>
      <c r="U13" s="55" t="s">
        <v>83</v>
      </c>
      <c r="V13" s="10"/>
    </row>
    <row r="14" spans="1:22" x14ac:dyDescent="0.3">
      <c r="A14" s="1" t="s">
        <v>1</v>
      </c>
      <c r="B14" s="19" t="s">
        <v>5</v>
      </c>
      <c r="C14" s="7" t="s">
        <v>120</v>
      </c>
      <c r="D14" s="95" t="s">
        <v>8</v>
      </c>
      <c r="E14" s="52" t="s">
        <v>45</v>
      </c>
      <c r="F14" s="94" t="s">
        <v>11</v>
      </c>
      <c r="G14" s="98" t="s">
        <v>121</v>
      </c>
      <c r="H14" s="99" t="s">
        <v>122</v>
      </c>
      <c r="I14" s="95" t="s">
        <v>123</v>
      </c>
      <c r="J14" s="95" t="s">
        <v>124</v>
      </c>
      <c r="K14" s="100" t="s">
        <v>24</v>
      </c>
      <c r="L14" s="185" t="s">
        <v>29</v>
      </c>
      <c r="M14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4" s="52"/>
      <c r="O14" s="51" t="s">
        <v>125</v>
      </c>
      <c r="P14" s="69"/>
      <c r="Q14" s="101">
        <v>45978</v>
      </c>
      <c r="R14" s="80"/>
      <c r="S14" s="80"/>
      <c r="T14" s="56" t="s">
        <v>126</v>
      </c>
      <c r="U14" s="43" t="s">
        <v>83</v>
      </c>
      <c r="V14" s="10"/>
    </row>
    <row r="15" spans="1:22" x14ac:dyDescent="0.3">
      <c r="A15" s="1" t="s">
        <v>1</v>
      </c>
      <c r="B15" s="19" t="s">
        <v>5</v>
      </c>
      <c r="C15" s="7" t="s">
        <v>120</v>
      </c>
      <c r="D15" s="5" t="s">
        <v>8</v>
      </c>
      <c r="E15" s="20" t="s">
        <v>45</v>
      </c>
      <c r="F15" s="4" t="s">
        <v>11</v>
      </c>
      <c r="G15" s="10" t="s">
        <v>127</v>
      </c>
      <c r="H15" s="36" t="s">
        <v>128</v>
      </c>
      <c r="I15" s="5" t="s">
        <v>15</v>
      </c>
      <c r="J15" s="5" t="s">
        <v>129</v>
      </c>
      <c r="K15" s="17" t="s">
        <v>24</v>
      </c>
      <c r="L15" s="185" t="s">
        <v>29</v>
      </c>
      <c r="M15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5" s="20"/>
      <c r="O15" s="47" t="s">
        <v>130</v>
      </c>
      <c r="P15" s="3"/>
      <c r="Q15" s="61">
        <v>45992</v>
      </c>
      <c r="R15" s="66"/>
      <c r="S15" s="66"/>
      <c r="T15" s="57" t="s">
        <v>131</v>
      </c>
      <c r="U15" s="43" t="s">
        <v>83</v>
      </c>
      <c r="V15" s="10"/>
    </row>
    <row r="16" spans="1:22" x14ac:dyDescent="0.3">
      <c r="A16" s="1" t="s">
        <v>1</v>
      </c>
      <c r="B16" s="19" t="s">
        <v>5</v>
      </c>
      <c r="C16" s="7" t="s">
        <v>132</v>
      </c>
      <c r="D16" s="5" t="s">
        <v>133</v>
      </c>
      <c r="E16" s="20" t="s">
        <v>45</v>
      </c>
      <c r="F16" s="4" t="s">
        <v>11</v>
      </c>
      <c r="G16" s="10" t="s">
        <v>134</v>
      </c>
      <c r="H16" s="36" t="s">
        <v>135</v>
      </c>
      <c r="I16" s="5" t="s">
        <v>18</v>
      </c>
      <c r="J16" s="5" t="s">
        <v>134</v>
      </c>
      <c r="K16" s="17" t="s">
        <v>24</v>
      </c>
      <c r="L16" s="185" t="s">
        <v>29</v>
      </c>
      <c r="M16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6" s="20"/>
      <c r="O16" s="47" t="s">
        <v>136</v>
      </c>
      <c r="P16" s="3"/>
      <c r="Q16" s="61">
        <v>46023</v>
      </c>
      <c r="R16" s="66"/>
      <c r="S16" s="66"/>
      <c r="T16" s="57" t="s">
        <v>137</v>
      </c>
      <c r="U16" s="43" t="s">
        <v>83</v>
      </c>
      <c r="V16" s="10"/>
    </row>
    <row r="17" spans="1:22" x14ac:dyDescent="0.3">
      <c r="A17" s="1" t="s">
        <v>1</v>
      </c>
      <c r="B17" s="19" t="s">
        <v>5</v>
      </c>
      <c r="C17" s="7" t="s">
        <v>132</v>
      </c>
      <c r="D17" s="5" t="s">
        <v>133</v>
      </c>
      <c r="E17" s="20" t="s">
        <v>45</v>
      </c>
      <c r="F17" s="4" t="s">
        <v>11</v>
      </c>
      <c r="G17" s="10" t="s">
        <v>138</v>
      </c>
      <c r="H17" s="36" t="s">
        <v>139</v>
      </c>
      <c r="I17" s="5" t="s">
        <v>18</v>
      </c>
      <c r="J17" s="5" t="s">
        <v>140</v>
      </c>
      <c r="K17" s="17" t="s">
        <v>24</v>
      </c>
      <c r="L17" s="185" t="s">
        <v>29</v>
      </c>
      <c r="M17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7" s="20"/>
      <c r="O17" s="47" t="s">
        <v>141</v>
      </c>
      <c r="P17" s="3"/>
      <c r="Q17" s="61">
        <v>45992</v>
      </c>
      <c r="R17" s="66"/>
      <c r="S17" s="66"/>
      <c r="T17" s="57" t="s">
        <v>142</v>
      </c>
      <c r="U17" s="43" t="s">
        <v>83</v>
      </c>
      <c r="V17" s="10"/>
    </row>
    <row r="18" spans="1:22" x14ac:dyDescent="0.3">
      <c r="A18" s="1" t="s">
        <v>1</v>
      </c>
      <c r="B18" s="19" t="s">
        <v>5</v>
      </c>
      <c r="C18" s="7" t="s">
        <v>120</v>
      </c>
      <c r="D18" s="5" t="s">
        <v>8</v>
      </c>
      <c r="E18" s="20" t="s">
        <v>45</v>
      </c>
      <c r="F18" s="4" t="s">
        <v>11</v>
      </c>
      <c r="G18" s="10" t="s">
        <v>143</v>
      </c>
      <c r="H18" s="36" t="s">
        <v>128</v>
      </c>
      <c r="I18" s="5" t="s">
        <v>15</v>
      </c>
      <c r="J18" s="5" t="s">
        <v>144</v>
      </c>
      <c r="K18" s="17" t="s">
        <v>24</v>
      </c>
      <c r="L18" s="185" t="s">
        <v>29</v>
      </c>
      <c r="M18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8" s="20"/>
      <c r="O18" s="47" t="s">
        <v>145</v>
      </c>
      <c r="P18" s="3"/>
      <c r="Q18" s="61">
        <v>46000</v>
      </c>
      <c r="R18" s="66"/>
      <c r="S18" s="66"/>
      <c r="T18" s="6" t="s">
        <v>146</v>
      </c>
      <c r="U18" s="43" t="s">
        <v>83</v>
      </c>
      <c r="V18" s="10"/>
    </row>
    <row r="19" spans="1:22" x14ac:dyDescent="0.3">
      <c r="A19" s="1" t="s">
        <v>1</v>
      </c>
      <c r="B19" s="19" t="s">
        <v>5</v>
      </c>
      <c r="C19" s="7" t="s">
        <v>120</v>
      </c>
      <c r="D19" s="5" t="s">
        <v>8</v>
      </c>
      <c r="E19" s="20" t="s">
        <v>45</v>
      </c>
      <c r="F19" s="4" t="s">
        <v>11</v>
      </c>
      <c r="G19" s="10" t="s">
        <v>147</v>
      </c>
      <c r="H19" s="36" t="s">
        <v>148</v>
      </c>
      <c r="I19" s="5" t="s">
        <v>149</v>
      </c>
      <c r="J19" s="5" t="s">
        <v>150</v>
      </c>
      <c r="K19" s="17" t="s">
        <v>24</v>
      </c>
      <c r="L19" s="185" t="s">
        <v>29</v>
      </c>
      <c r="M19" s="16">
        <f ca="1">IF(Tabla1[[#This Row],[Estado]]="Activa",NETWORKDAYS(Tabla1[[#This Row],[Fecha Inicio Búsqueda]],TODAY()),NETWORKDAYS(Tabla1[[#This Row],[Fecha Inicio Búsqueda]],Tabla1[[#This Row],[Fecha Cubierta Búsqueda]]))</f>
        <v>33</v>
      </c>
      <c r="N19" s="20"/>
      <c r="O19" s="47" t="s">
        <v>151</v>
      </c>
      <c r="P19" s="3"/>
      <c r="Q19" s="61">
        <v>46041</v>
      </c>
      <c r="R19" s="66">
        <v>45980</v>
      </c>
      <c r="S19" s="66">
        <v>46026</v>
      </c>
      <c r="T19" s="57" t="s">
        <v>142</v>
      </c>
      <c r="U19" s="43" t="s">
        <v>83</v>
      </c>
      <c r="V19" s="138">
        <v>1200000</v>
      </c>
    </row>
    <row r="20" spans="1:22" x14ac:dyDescent="0.3">
      <c r="A20" s="1" t="s">
        <v>1</v>
      </c>
      <c r="B20" s="19" t="s">
        <v>5</v>
      </c>
      <c r="C20" s="7" t="s">
        <v>120</v>
      </c>
      <c r="D20" s="5" t="s">
        <v>8</v>
      </c>
      <c r="E20" s="20" t="s">
        <v>45</v>
      </c>
      <c r="F20" s="4" t="s">
        <v>11</v>
      </c>
      <c r="G20" s="10" t="s">
        <v>147</v>
      </c>
      <c r="H20" s="36" t="s">
        <v>148</v>
      </c>
      <c r="I20" s="5" t="s">
        <v>149</v>
      </c>
      <c r="J20" s="5" t="s">
        <v>152</v>
      </c>
      <c r="K20" s="17" t="s">
        <v>24</v>
      </c>
      <c r="L20" s="185" t="s">
        <v>29</v>
      </c>
      <c r="M20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0" s="20"/>
      <c r="O20" s="47" t="s">
        <v>153</v>
      </c>
      <c r="P20" s="3"/>
      <c r="Q20" s="61">
        <v>46027</v>
      </c>
      <c r="R20" s="66"/>
      <c r="S20" s="66"/>
      <c r="T20" s="57" t="s">
        <v>154</v>
      </c>
      <c r="U20" s="43" t="s">
        <v>83</v>
      </c>
      <c r="V20" s="138">
        <v>1200000</v>
      </c>
    </row>
    <row r="21" spans="1:22" x14ac:dyDescent="0.3">
      <c r="A21" s="1" t="s">
        <v>1</v>
      </c>
      <c r="B21" s="19" t="s">
        <v>5</v>
      </c>
      <c r="C21" s="7" t="s">
        <v>155</v>
      </c>
      <c r="D21" s="5" t="s">
        <v>8</v>
      </c>
      <c r="E21" s="20" t="s">
        <v>45</v>
      </c>
      <c r="F21" s="4" t="s">
        <v>11</v>
      </c>
      <c r="G21" s="10" t="s">
        <v>156</v>
      </c>
      <c r="H21" s="36" t="s">
        <v>157</v>
      </c>
      <c r="I21" s="1" t="s">
        <v>17</v>
      </c>
      <c r="J21" s="5" t="s">
        <v>158</v>
      </c>
      <c r="K21" s="17" t="s">
        <v>24</v>
      </c>
      <c r="L21" s="185" t="s">
        <v>29</v>
      </c>
      <c r="M21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1" s="20"/>
      <c r="O21" s="47" t="s">
        <v>159</v>
      </c>
      <c r="P21" s="3"/>
      <c r="Q21" s="61">
        <v>46027</v>
      </c>
      <c r="R21" s="66"/>
      <c r="S21" s="66"/>
      <c r="T21" s="57" t="s">
        <v>160</v>
      </c>
      <c r="U21" s="43" t="s">
        <v>83</v>
      </c>
      <c r="V21" s="10"/>
    </row>
    <row r="22" spans="1:22" x14ac:dyDescent="0.3">
      <c r="A22" s="1" t="s">
        <v>1</v>
      </c>
      <c r="B22" s="19" t="s">
        <v>5</v>
      </c>
      <c r="C22" s="7" t="s">
        <v>1</v>
      </c>
      <c r="D22" s="5" t="s">
        <v>8</v>
      </c>
      <c r="E22" s="20" t="s">
        <v>45</v>
      </c>
      <c r="F22" s="4" t="s">
        <v>12</v>
      </c>
      <c r="G22" s="10" t="s">
        <v>156</v>
      </c>
      <c r="H22" s="36" t="s">
        <v>161</v>
      </c>
      <c r="I22" s="5" t="s">
        <v>123</v>
      </c>
      <c r="J22" s="5" t="s">
        <v>162</v>
      </c>
      <c r="K22" s="17" t="s">
        <v>24</v>
      </c>
      <c r="L22" s="185" t="s">
        <v>29</v>
      </c>
      <c r="M22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2" s="20"/>
      <c r="O22" s="47" t="s">
        <v>163</v>
      </c>
      <c r="P22" s="3"/>
      <c r="Q22" s="61">
        <v>45992</v>
      </c>
      <c r="R22" s="66"/>
      <c r="S22" s="66"/>
      <c r="T22" s="57" t="s">
        <v>160</v>
      </c>
      <c r="U22" s="43" t="s">
        <v>83</v>
      </c>
      <c r="V22" s="10"/>
    </row>
    <row r="23" spans="1:22" x14ac:dyDescent="0.3">
      <c r="A23" s="1" t="s">
        <v>1</v>
      </c>
      <c r="B23" s="19" t="s">
        <v>5</v>
      </c>
      <c r="C23" s="7" t="s">
        <v>120</v>
      </c>
      <c r="D23" s="5" t="s">
        <v>8</v>
      </c>
      <c r="E23" s="20" t="s">
        <v>45</v>
      </c>
      <c r="F23" s="4" t="s">
        <v>11</v>
      </c>
      <c r="G23" s="10" t="s">
        <v>141</v>
      </c>
      <c r="H23" s="36" t="s">
        <v>122</v>
      </c>
      <c r="I23" s="5" t="s">
        <v>123</v>
      </c>
      <c r="J23" s="5" t="s">
        <v>164</v>
      </c>
      <c r="K23" s="17" t="s">
        <v>24</v>
      </c>
      <c r="L23" s="185" t="s">
        <v>29</v>
      </c>
      <c r="M23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3" s="20"/>
      <c r="O23" s="47" t="s">
        <v>165</v>
      </c>
      <c r="P23" s="3"/>
      <c r="Q23" s="61">
        <v>46027</v>
      </c>
      <c r="R23" s="66"/>
      <c r="S23" s="66"/>
      <c r="T23" s="57" t="s">
        <v>142</v>
      </c>
      <c r="U23" s="43" t="s">
        <v>83</v>
      </c>
      <c r="V23" s="10"/>
    </row>
    <row r="24" spans="1:22" x14ac:dyDescent="0.3">
      <c r="A24" s="1" t="s">
        <v>1</v>
      </c>
      <c r="B24" s="19" t="s">
        <v>5</v>
      </c>
      <c r="C24" s="7" t="s">
        <v>120</v>
      </c>
      <c r="D24" s="5" t="s">
        <v>8</v>
      </c>
      <c r="E24" s="20" t="s">
        <v>45</v>
      </c>
      <c r="F24" s="4" t="s">
        <v>11</v>
      </c>
      <c r="G24" s="10" t="s">
        <v>166</v>
      </c>
      <c r="H24" s="36" t="s">
        <v>122</v>
      </c>
      <c r="I24" s="5" t="s">
        <v>123</v>
      </c>
      <c r="J24" s="5" t="s">
        <v>167</v>
      </c>
      <c r="K24" s="17" t="s">
        <v>24</v>
      </c>
      <c r="L24" s="185" t="s">
        <v>29</v>
      </c>
      <c r="M24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4" s="20"/>
      <c r="O24" s="47" t="s">
        <v>168</v>
      </c>
      <c r="P24" s="3"/>
      <c r="Q24" s="61">
        <v>46027</v>
      </c>
      <c r="R24" s="66"/>
      <c r="S24" s="66"/>
      <c r="T24" s="57" t="s">
        <v>169</v>
      </c>
      <c r="U24" s="43" t="s">
        <v>83</v>
      </c>
      <c r="V24" s="10"/>
    </row>
    <row r="25" spans="1:22" x14ac:dyDescent="0.3">
      <c r="A25" s="1" t="s">
        <v>1</v>
      </c>
      <c r="B25" s="19" t="s">
        <v>5</v>
      </c>
      <c r="C25" s="7" t="s">
        <v>79</v>
      </c>
      <c r="D25" s="5" t="s">
        <v>8</v>
      </c>
      <c r="E25" s="20" t="s">
        <v>45</v>
      </c>
      <c r="F25" s="4" t="s">
        <v>11</v>
      </c>
      <c r="G25" s="10" t="s">
        <v>170</v>
      </c>
      <c r="H25" s="36" t="s">
        <v>171</v>
      </c>
      <c r="I25" s="5" t="s">
        <v>123</v>
      </c>
      <c r="J25" s="5" t="s">
        <v>172</v>
      </c>
      <c r="K25" s="17" t="s">
        <v>24</v>
      </c>
      <c r="L25" s="185" t="s">
        <v>29</v>
      </c>
      <c r="M25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5" s="20" t="s">
        <v>173</v>
      </c>
      <c r="O25" s="47" t="s">
        <v>174</v>
      </c>
      <c r="P25" s="3"/>
      <c r="Q25" s="61">
        <v>46055</v>
      </c>
      <c r="R25" s="66"/>
      <c r="S25" s="66"/>
      <c r="T25" s="57" t="s">
        <v>175</v>
      </c>
      <c r="U25" s="43" t="s">
        <v>83</v>
      </c>
      <c r="V25" s="10"/>
    </row>
    <row r="26" spans="1:22" x14ac:dyDescent="0.3">
      <c r="A26" s="1" t="s">
        <v>1</v>
      </c>
      <c r="B26" s="19" t="s">
        <v>5</v>
      </c>
      <c r="C26" s="7" t="s">
        <v>176</v>
      </c>
      <c r="D26" s="5" t="s">
        <v>8</v>
      </c>
      <c r="E26" s="20" t="s">
        <v>45</v>
      </c>
      <c r="F26" s="4" t="s">
        <v>11</v>
      </c>
      <c r="G26" s="10" t="s">
        <v>147</v>
      </c>
      <c r="H26" s="36" t="s">
        <v>148</v>
      </c>
      <c r="I26" s="5" t="s">
        <v>149</v>
      </c>
      <c r="J26" s="5" t="s">
        <v>153</v>
      </c>
      <c r="K26" s="17" t="s">
        <v>24</v>
      </c>
      <c r="L26" s="185" t="s">
        <v>29</v>
      </c>
      <c r="M26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6" s="20"/>
      <c r="O26" s="47" t="s">
        <v>177</v>
      </c>
      <c r="P26" s="3"/>
      <c r="Q26" s="62">
        <v>46027</v>
      </c>
      <c r="R26" s="66"/>
      <c r="S26" s="66"/>
      <c r="T26" s="57" t="s">
        <v>154</v>
      </c>
      <c r="U26" s="43" t="s">
        <v>83</v>
      </c>
      <c r="V26" s="138">
        <v>1200000</v>
      </c>
    </row>
    <row r="27" spans="1:22" x14ac:dyDescent="0.3">
      <c r="A27" s="1" t="s">
        <v>1</v>
      </c>
      <c r="B27" s="19" t="s">
        <v>5</v>
      </c>
      <c r="C27" s="7" t="s">
        <v>178</v>
      </c>
      <c r="D27" s="5" t="s">
        <v>8</v>
      </c>
      <c r="E27" s="20" t="s">
        <v>45</v>
      </c>
      <c r="F27" s="4" t="s">
        <v>11</v>
      </c>
      <c r="G27" s="10" t="s">
        <v>179</v>
      </c>
      <c r="H27" s="36" t="s">
        <v>180</v>
      </c>
      <c r="I27" s="1" t="s">
        <v>17</v>
      </c>
      <c r="J27" s="5" t="s">
        <v>181</v>
      </c>
      <c r="K27" s="17" t="s">
        <v>24</v>
      </c>
      <c r="L27" s="185" t="s">
        <v>29</v>
      </c>
      <c r="M27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27" s="20"/>
      <c r="O27" s="47" t="s">
        <v>182</v>
      </c>
      <c r="P27" s="3"/>
      <c r="Q27" s="61">
        <v>46069</v>
      </c>
      <c r="R27" s="120"/>
      <c r="S27" s="120"/>
      <c r="T27" s="57" t="s">
        <v>175</v>
      </c>
      <c r="U27" s="43" t="s">
        <v>83</v>
      </c>
      <c r="V27" s="10"/>
    </row>
    <row r="28" spans="1:22" x14ac:dyDescent="0.3">
      <c r="A28" s="1" t="s">
        <v>1</v>
      </c>
      <c r="B28" s="19" t="s">
        <v>5</v>
      </c>
      <c r="C28" s="7" t="s">
        <v>79</v>
      </c>
      <c r="D28" s="5" t="s">
        <v>8</v>
      </c>
      <c r="E28" s="20" t="s">
        <v>45</v>
      </c>
      <c r="F28" s="4" t="s">
        <v>11</v>
      </c>
      <c r="G28" s="10" t="s">
        <v>156</v>
      </c>
      <c r="H28" s="36" t="s">
        <v>183</v>
      </c>
      <c r="I28" s="5" t="s">
        <v>123</v>
      </c>
      <c r="J28" s="5" t="s">
        <v>184</v>
      </c>
      <c r="K28" s="17" t="s">
        <v>23</v>
      </c>
      <c r="L28" s="185" t="s">
        <v>28</v>
      </c>
      <c r="M28" s="16">
        <f ca="1">IF(Tabla1[[#This Row],[Estado]]="Activa",NETWORKDAYS(Tabla1[[#This Row],[Fecha Inicio Búsqueda]],TODAY()),NETWORKDAYS(Tabla1[[#This Row],[Fecha Inicio Búsqueda]],Tabla1[[#This Row],[Fecha Cubierta Búsqueda]]))</f>
        <v>41</v>
      </c>
      <c r="N28" s="20"/>
      <c r="O28" s="20"/>
      <c r="P28" s="52" t="s">
        <v>22</v>
      </c>
      <c r="Q28" s="33"/>
      <c r="R28" s="42">
        <v>46049</v>
      </c>
      <c r="S28" s="35"/>
      <c r="T28" s="57" t="s">
        <v>160</v>
      </c>
      <c r="U28" s="43" t="s">
        <v>83</v>
      </c>
      <c r="V28" s="10"/>
    </row>
    <row r="29" spans="1:22" x14ac:dyDescent="0.3">
      <c r="A29" s="1" t="s">
        <v>1</v>
      </c>
      <c r="B29" s="19" t="s">
        <v>5</v>
      </c>
      <c r="C29" s="35" t="s">
        <v>185</v>
      </c>
      <c r="D29" s="5" t="s">
        <v>8</v>
      </c>
      <c r="E29" s="20" t="s">
        <v>45</v>
      </c>
      <c r="F29" s="4" t="s">
        <v>11</v>
      </c>
      <c r="G29" s="10" t="s">
        <v>186</v>
      </c>
      <c r="H29" s="36" t="s">
        <v>187</v>
      </c>
      <c r="I29" s="5" t="s">
        <v>123</v>
      </c>
      <c r="J29" s="5" t="s">
        <v>188</v>
      </c>
      <c r="K29" s="17" t="s">
        <v>23</v>
      </c>
      <c r="L29" s="185" t="s">
        <v>28</v>
      </c>
      <c r="M29" s="16">
        <f ca="1">IF(Tabla1[[#This Row],[Estado]]="Activa",NETWORKDAYS(Tabla1[[#This Row],[Fecha Inicio Búsqueda]],TODAY()),NETWORKDAYS(Tabla1[[#This Row],[Fecha Inicio Búsqueda]],Tabla1[[#This Row],[Fecha Cubierta Búsqueda]]))</f>
        <v>36</v>
      </c>
      <c r="N29" s="20"/>
      <c r="O29" s="20"/>
      <c r="P29" s="52" t="s">
        <v>22</v>
      </c>
      <c r="Q29" s="33"/>
      <c r="R29" s="42">
        <v>46056</v>
      </c>
      <c r="S29" s="35"/>
      <c r="T29" s="57" t="s">
        <v>189</v>
      </c>
      <c r="U29" s="43" t="s">
        <v>83</v>
      </c>
      <c r="V29" s="10"/>
    </row>
    <row r="30" spans="1:22" x14ac:dyDescent="0.3">
      <c r="A30" s="1" t="s">
        <v>1</v>
      </c>
      <c r="B30" s="19" t="s">
        <v>5</v>
      </c>
      <c r="C30" s="35" t="s">
        <v>185</v>
      </c>
      <c r="D30" s="5" t="s">
        <v>8</v>
      </c>
      <c r="E30" s="20" t="s">
        <v>45</v>
      </c>
      <c r="F30" s="4" t="s">
        <v>11</v>
      </c>
      <c r="G30" s="10" t="s">
        <v>190</v>
      </c>
      <c r="H30" s="36" t="s">
        <v>187</v>
      </c>
      <c r="I30" s="5" t="s">
        <v>123</v>
      </c>
      <c r="J30" s="5" t="s">
        <v>191</v>
      </c>
      <c r="K30" s="17" t="s">
        <v>24</v>
      </c>
      <c r="L30" s="185" t="s">
        <v>29</v>
      </c>
      <c r="M30" s="16">
        <f ca="1">IF(Tabla1[[#This Row],[Estado]]="Activa",NETWORKDAYS(Tabla1[[#This Row],[Fecha Inicio Búsqueda]],TODAY()),NETWORKDAYS(Tabla1[[#This Row],[Fecha Inicio Búsqueda]],Tabla1[[#This Row],[Fecha Cubierta Búsqueda]]))</f>
        <v>26</v>
      </c>
      <c r="N30" s="20"/>
      <c r="O30" s="20" t="s">
        <v>192</v>
      </c>
      <c r="P30" s="52" t="s">
        <v>22</v>
      </c>
      <c r="Q30" s="179">
        <v>46104</v>
      </c>
      <c r="R30" s="42">
        <v>46056</v>
      </c>
      <c r="S30" s="180">
        <v>46091</v>
      </c>
      <c r="T30" s="57" t="s">
        <v>193</v>
      </c>
      <c r="U30" s="43" t="s">
        <v>83</v>
      </c>
      <c r="V30" s="10"/>
    </row>
    <row r="31" spans="1:22" x14ac:dyDescent="0.3">
      <c r="A31" s="1" t="s">
        <v>1</v>
      </c>
      <c r="B31" s="19" t="s">
        <v>5</v>
      </c>
      <c r="C31" s="35" t="s">
        <v>185</v>
      </c>
      <c r="D31" s="5" t="s">
        <v>8</v>
      </c>
      <c r="E31" s="20" t="s">
        <v>45</v>
      </c>
      <c r="F31" s="4" t="s">
        <v>12</v>
      </c>
      <c r="G31" s="10" t="s">
        <v>134</v>
      </c>
      <c r="H31" s="36" t="s">
        <v>194</v>
      </c>
      <c r="I31" s="5" t="s">
        <v>123</v>
      </c>
      <c r="J31" s="5" t="s">
        <v>195</v>
      </c>
      <c r="K31" s="17" t="s">
        <v>24</v>
      </c>
      <c r="L31" s="185" t="s">
        <v>29</v>
      </c>
      <c r="M31" s="16">
        <f ca="1">IF(Tabla1[[#This Row],[Estado]]="Activa",NETWORKDAYS(Tabla1[[#This Row],[Fecha Inicio Búsqueda]],TODAY()),NETWORKDAYS(Tabla1[[#This Row],[Fecha Inicio Búsqueda]],Tabla1[[#This Row],[Fecha Cubierta Búsqueda]]))</f>
        <v>34</v>
      </c>
      <c r="N31" s="20"/>
      <c r="O31" s="20" t="s">
        <v>196</v>
      </c>
      <c r="P31" s="52" t="s">
        <v>22</v>
      </c>
      <c r="Q31" s="136">
        <v>46118</v>
      </c>
      <c r="R31" s="42">
        <v>46056</v>
      </c>
      <c r="S31" s="180">
        <v>46101</v>
      </c>
      <c r="T31" s="57" t="s">
        <v>197</v>
      </c>
      <c r="U31" s="43" t="s">
        <v>83</v>
      </c>
      <c r="V31" s="10"/>
    </row>
    <row r="32" spans="1:22" x14ac:dyDescent="0.3">
      <c r="A32" s="1" t="s">
        <v>1</v>
      </c>
      <c r="B32" s="19" t="s">
        <v>5</v>
      </c>
      <c r="C32" s="35" t="s">
        <v>185</v>
      </c>
      <c r="D32" s="5" t="s">
        <v>8</v>
      </c>
      <c r="E32" s="20" t="s">
        <v>45</v>
      </c>
      <c r="F32" s="4" t="s">
        <v>11</v>
      </c>
      <c r="G32" s="10" t="s">
        <v>198</v>
      </c>
      <c r="H32" s="36" t="s">
        <v>122</v>
      </c>
      <c r="I32" s="5" t="s">
        <v>123</v>
      </c>
      <c r="J32" s="5" t="s">
        <v>199</v>
      </c>
      <c r="K32" s="17" t="s">
        <v>23</v>
      </c>
      <c r="L32" s="185" t="s">
        <v>28</v>
      </c>
      <c r="M32" s="16">
        <f ca="1">IF(Tabla1[[#This Row],[Estado]]="Activa",NETWORKDAYS(Tabla1[[#This Row],[Fecha Inicio Búsqueda]],TODAY()),NETWORKDAYS(Tabla1[[#This Row],[Fecha Inicio Búsqueda]],Tabla1[[#This Row],[Fecha Cubierta Búsqueda]]))</f>
        <v>13</v>
      </c>
      <c r="N32" s="84"/>
      <c r="O32" s="84"/>
      <c r="P32" s="52" t="s">
        <v>22</v>
      </c>
      <c r="Q32" s="70"/>
      <c r="R32" s="70">
        <v>46087</v>
      </c>
      <c r="S32" s="70"/>
      <c r="T32" s="1" t="s">
        <v>200</v>
      </c>
      <c r="U32" s="35"/>
      <c r="V32" s="35"/>
    </row>
    <row r="33" spans="1:55" x14ac:dyDescent="0.3">
      <c r="A33" s="1" t="s">
        <v>1</v>
      </c>
      <c r="B33" s="19" t="s">
        <v>5</v>
      </c>
      <c r="C33" s="35" t="s">
        <v>185</v>
      </c>
      <c r="D33" s="5" t="s">
        <v>8</v>
      </c>
      <c r="E33" s="20" t="s">
        <v>45</v>
      </c>
      <c r="F33" s="4" t="s">
        <v>11</v>
      </c>
      <c r="G33" s="10" t="s">
        <v>186</v>
      </c>
      <c r="H33" s="36" t="s">
        <v>148</v>
      </c>
      <c r="I33" s="5" t="s">
        <v>149</v>
      </c>
      <c r="J33" s="5" t="s">
        <v>201</v>
      </c>
      <c r="K33" s="17" t="s">
        <v>24</v>
      </c>
      <c r="L33" s="185" t="s">
        <v>29</v>
      </c>
      <c r="M33" s="16">
        <f ca="1">IF(Tabla1[[#This Row],[Estado]]="Activa",NETWORKDAYS(Tabla1[[#This Row],[Fecha Inicio Búsqueda]],TODAY()),NETWORKDAYS(Tabla1[[#This Row],[Fecha Inicio Búsqueda]],Tabla1[[#This Row],[Fecha Cubierta Búsqueda]]))</f>
        <v>37</v>
      </c>
      <c r="N33" s="20"/>
      <c r="O33" s="20" t="s">
        <v>202</v>
      </c>
      <c r="P33" s="52" t="s">
        <v>22</v>
      </c>
      <c r="Q33" s="136">
        <v>46118</v>
      </c>
      <c r="R33" s="66">
        <v>46051</v>
      </c>
      <c r="S33" s="180">
        <v>46101</v>
      </c>
      <c r="T33" s="57" t="s">
        <v>189</v>
      </c>
      <c r="U33" s="43" t="s">
        <v>83</v>
      </c>
      <c r="V33" s="138">
        <v>1200000</v>
      </c>
    </row>
    <row r="34" spans="1:55" x14ac:dyDescent="0.3">
      <c r="A34" s="1" t="s">
        <v>1</v>
      </c>
      <c r="B34" s="19" t="s">
        <v>5</v>
      </c>
      <c r="C34" s="35" t="s">
        <v>185</v>
      </c>
      <c r="D34" s="5" t="s">
        <v>8</v>
      </c>
      <c r="E34" s="20" t="s">
        <v>45</v>
      </c>
      <c r="F34" s="4" t="s">
        <v>11</v>
      </c>
      <c r="G34" s="10" t="s">
        <v>203</v>
      </c>
      <c r="H34" s="36" t="s">
        <v>148</v>
      </c>
      <c r="I34" s="5" t="s">
        <v>149</v>
      </c>
      <c r="J34" s="5" t="s">
        <v>204</v>
      </c>
      <c r="K34" s="17" t="s">
        <v>24</v>
      </c>
      <c r="L34" s="185" t="s">
        <v>29</v>
      </c>
      <c r="M34" s="16">
        <f ca="1">IF(Tabla1[[#This Row],[Estado]]="Activa",NETWORKDAYS(Tabla1[[#This Row],[Fecha Inicio Búsqueda]],TODAY()),NETWORKDAYS(Tabla1[[#This Row],[Fecha Inicio Búsqueda]],Tabla1[[#This Row],[Fecha Cubierta Búsqueda]]))</f>
        <v>37</v>
      </c>
      <c r="N34" s="20"/>
      <c r="O34" s="20" t="s">
        <v>205</v>
      </c>
      <c r="P34" s="52" t="s">
        <v>22</v>
      </c>
      <c r="Q34" s="136">
        <v>46118</v>
      </c>
      <c r="R34" s="66">
        <v>46051</v>
      </c>
      <c r="S34" s="180">
        <v>46101</v>
      </c>
      <c r="T34" s="57" t="s">
        <v>126</v>
      </c>
      <c r="U34" s="43"/>
      <c r="V34" s="138">
        <v>1200000</v>
      </c>
    </row>
    <row r="35" spans="1:55" x14ac:dyDescent="0.3">
      <c r="A35" s="1" t="s">
        <v>1</v>
      </c>
      <c r="B35" s="19" t="s">
        <v>5</v>
      </c>
      <c r="C35" s="7" t="s">
        <v>206</v>
      </c>
      <c r="D35" s="5" t="s">
        <v>8</v>
      </c>
      <c r="E35" s="20" t="s">
        <v>45</v>
      </c>
      <c r="F35" s="4" t="s">
        <v>11</v>
      </c>
      <c r="G35" s="10" t="s">
        <v>207</v>
      </c>
      <c r="H35" s="36" t="s">
        <v>148</v>
      </c>
      <c r="I35" s="5" t="s">
        <v>149</v>
      </c>
      <c r="J35" s="5" t="s">
        <v>208</v>
      </c>
      <c r="K35" s="17" t="s">
        <v>24</v>
      </c>
      <c r="L35" s="185" t="s">
        <v>29</v>
      </c>
      <c r="M35" s="16">
        <f ca="1">IF(Tabla1[[#This Row],[Estado]]="Activa",NETWORKDAYS(Tabla1[[#This Row],[Fecha Inicio Búsqueda]],TODAY()),NETWORKDAYS(Tabla1[[#This Row],[Fecha Inicio Búsqueda]],Tabla1[[#This Row],[Fecha Cubierta Búsqueda]]))</f>
        <v>36</v>
      </c>
      <c r="N35" s="20"/>
      <c r="O35" s="20" t="s">
        <v>209</v>
      </c>
      <c r="P35" s="52" t="s">
        <v>22</v>
      </c>
      <c r="Q35" s="136">
        <v>46118</v>
      </c>
      <c r="R35" s="66">
        <v>46052</v>
      </c>
      <c r="S35" s="180">
        <v>46101</v>
      </c>
      <c r="T35" s="57" t="s">
        <v>210</v>
      </c>
      <c r="U35" s="43" t="s">
        <v>83</v>
      </c>
      <c r="V35" s="138">
        <v>1200000</v>
      </c>
    </row>
    <row r="36" spans="1:55" x14ac:dyDescent="0.3">
      <c r="A36" s="1" t="s">
        <v>1</v>
      </c>
      <c r="B36" s="19" t="s">
        <v>5</v>
      </c>
      <c r="C36" s="7" t="s">
        <v>206</v>
      </c>
      <c r="D36" s="5" t="s">
        <v>8</v>
      </c>
      <c r="E36" s="20" t="s">
        <v>45</v>
      </c>
      <c r="F36" s="4" t="s">
        <v>11</v>
      </c>
      <c r="G36" s="10" t="s">
        <v>140</v>
      </c>
      <c r="H36" s="36" t="s">
        <v>211</v>
      </c>
      <c r="I36" s="1" t="s">
        <v>17</v>
      </c>
      <c r="J36" s="5" t="s">
        <v>212</v>
      </c>
      <c r="K36" s="17" t="s">
        <v>24</v>
      </c>
      <c r="L36" s="185" t="s">
        <v>29</v>
      </c>
      <c r="M36" s="16">
        <f ca="1">IF(Tabla1[[#This Row],[Estado]]="Activa",NETWORKDAYS(Tabla1[[#This Row],[Fecha Inicio Búsqueda]],TODAY()),NETWORKDAYS(Tabla1[[#This Row],[Fecha Inicio Búsqueda]],Tabla1[[#This Row],[Fecha Cubierta Búsqueda]]))</f>
        <v>19</v>
      </c>
      <c r="N36" s="20" t="s">
        <v>213</v>
      </c>
      <c r="O36" s="20" t="s">
        <v>214</v>
      </c>
      <c r="P36" s="52" t="s">
        <v>22</v>
      </c>
      <c r="Q36" s="136">
        <v>46082</v>
      </c>
      <c r="R36" s="42">
        <v>46056</v>
      </c>
      <c r="S36" s="180">
        <v>46081</v>
      </c>
      <c r="T36" s="57" t="s">
        <v>197</v>
      </c>
      <c r="U36" s="43" t="s">
        <v>83</v>
      </c>
      <c r="V36" s="10"/>
    </row>
    <row r="37" spans="1:55" x14ac:dyDescent="0.3">
      <c r="A37" s="1" t="s">
        <v>1</v>
      </c>
      <c r="B37" s="19" t="s">
        <v>5</v>
      </c>
      <c r="C37" s="7" t="s">
        <v>206</v>
      </c>
      <c r="D37" s="5" t="s">
        <v>8</v>
      </c>
      <c r="E37" s="20" t="s">
        <v>45</v>
      </c>
      <c r="F37" s="4" t="s">
        <v>11</v>
      </c>
      <c r="G37" s="10" t="s">
        <v>141</v>
      </c>
      <c r="H37" s="36" t="s">
        <v>211</v>
      </c>
      <c r="I37" s="1" t="s">
        <v>17</v>
      </c>
      <c r="J37" s="5" t="s">
        <v>215</v>
      </c>
      <c r="K37" s="17" t="s">
        <v>24</v>
      </c>
      <c r="L37" s="185" t="s">
        <v>29</v>
      </c>
      <c r="M37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37" s="20"/>
      <c r="O37" s="47" t="s">
        <v>216</v>
      </c>
      <c r="P37" s="52" t="s">
        <v>21</v>
      </c>
      <c r="Q37" s="61">
        <v>46082</v>
      </c>
      <c r="R37" s="121"/>
      <c r="S37" s="121"/>
      <c r="T37" s="57" t="s">
        <v>142</v>
      </c>
      <c r="U37" s="43" t="s">
        <v>83</v>
      </c>
      <c r="V37" s="10"/>
    </row>
    <row r="38" spans="1:55" ht="29.25" x14ac:dyDescent="0.3">
      <c r="A38" s="166" t="s">
        <v>2</v>
      </c>
      <c r="B38" s="19" t="s">
        <v>5</v>
      </c>
      <c r="C38" s="171" t="s">
        <v>79</v>
      </c>
      <c r="D38" s="5" t="s">
        <v>8</v>
      </c>
      <c r="E38" s="20" t="s">
        <v>217</v>
      </c>
      <c r="F38" s="176" t="s">
        <v>11</v>
      </c>
      <c r="G38" s="10" t="s">
        <v>218</v>
      </c>
      <c r="H38" s="36" t="s">
        <v>219</v>
      </c>
      <c r="I38" s="5" t="s">
        <v>123</v>
      </c>
      <c r="J38" s="5" t="s">
        <v>220</v>
      </c>
      <c r="K38" s="17" t="s">
        <v>24</v>
      </c>
      <c r="L38" s="185"/>
      <c r="M38" s="16">
        <f ca="1">IF(Tabla1[[#This Row],[Estado]]="Activa",NETWORKDAYS(Tabla1[[#This Row],[Fecha Inicio Búsqueda]],TODAY()),NETWORKDAYS(Tabla1[[#This Row],[Fecha Inicio Búsqueda]],Tabla1[[#This Row],[Fecha Cubierta Búsqueda]]))</f>
        <v>26</v>
      </c>
      <c r="N38" s="20" t="s">
        <v>221</v>
      </c>
      <c r="O38" t="s">
        <v>222</v>
      </c>
      <c r="P38" s="52" t="s">
        <v>22</v>
      </c>
      <c r="Q38" s="167">
        <v>46113</v>
      </c>
      <c r="R38" s="42">
        <v>46051</v>
      </c>
      <c r="S38" s="42">
        <v>46086</v>
      </c>
      <c r="T38" s="57" t="s">
        <v>223</v>
      </c>
      <c r="U38" s="43" t="s">
        <v>83</v>
      </c>
      <c r="V38" s="10"/>
    </row>
    <row r="39" spans="1:55" x14ac:dyDescent="0.3">
      <c r="A39" s="1" t="s">
        <v>1</v>
      </c>
      <c r="B39" s="19" t="s">
        <v>5</v>
      </c>
      <c r="C39" s="7" t="s">
        <v>206</v>
      </c>
      <c r="D39" s="5" t="s">
        <v>8</v>
      </c>
      <c r="E39" s="20" t="s">
        <v>45</v>
      </c>
      <c r="F39" s="4" t="s">
        <v>11</v>
      </c>
      <c r="G39" s="10" t="s">
        <v>140</v>
      </c>
      <c r="H39" s="36" t="s">
        <v>128</v>
      </c>
      <c r="I39" s="5" t="s">
        <v>15</v>
      </c>
      <c r="J39" s="5" t="s">
        <v>224</v>
      </c>
      <c r="K39" s="17" t="s">
        <v>24</v>
      </c>
      <c r="L39" s="185" t="s">
        <v>29</v>
      </c>
      <c r="M39" s="16">
        <f ca="1">IF(Tabla1[[#This Row],[Estado]]="Activa",NETWORKDAYS(Tabla1[[#This Row],[Fecha Inicio Búsqueda]],TODAY()),NETWORKDAYS(Tabla1[[#This Row],[Fecha Inicio Búsqueda]],Tabla1[[#This Row],[Fecha Cubierta Búsqueda]]))</f>
        <v>17</v>
      </c>
      <c r="N39" s="20"/>
      <c r="O39" s="20" t="s">
        <v>225</v>
      </c>
      <c r="P39" s="52" t="s">
        <v>22</v>
      </c>
      <c r="Q39" s="136">
        <v>46083</v>
      </c>
      <c r="R39" s="42">
        <v>46050</v>
      </c>
      <c r="S39" s="42">
        <v>46072</v>
      </c>
      <c r="T39" s="57" t="s">
        <v>197</v>
      </c>
      <c r="U39" s="43" t="s">
        <v>83</v>
      </c>
      <c r="V39" s="10"/>
    </row>
    <row r="40" spans="1:55" x14ac:dyDescent="0.3">
      <c r="A40" s="1" t="s">
        <v>1</v>
      </c>
      <c r="B40" s="19" t="s">
        <v>5</v>
      </c>
      <c r="C40" s="7" t="s">
        <v>79</v>
      </c>
      <c r="D40" s="5" t="s">
        <v>8</v>
      </c>
      <c r="E40" s="20" t="s">
        <v>45</v>
      </c>
      <c r="F40" s="4" t="s">
        <v>11</v>
      </c>
      <c r="G40" s="10" t="s">
        <v>226</v>
      </c>
      <c r="H40" s="36" t="s">
        <v>227</v>
      </c>
      <c r="I40" s="5" t="s">
        <v>123</v>
      </c>
      <c r="J40" s="5" t="s">
        <v>228</v>
      </c>
      <c r="K40" s="17" t="s">
        <v>23</v>
      </c>
      <c r="L40" s="185" t="s">
        <v>28</v>
      </c>
      <c r="M40" s="16">
        <f ca="1">IF(Tabla1[[#This Row],[Estado]]="Activa",NETWORKDAYS(Tabla1[[#This Row],[Fecha Inicio Búsqueda]],TODAY()),NETWORKDAYS(Tabla1[[#This Row],[Fecha Inicio Búsqueda]],Tabla1[[#This Row],[Fecha Cubierta Búsqueda]]))</f>
        <v>31</v>
      </c>
      <c r="N40" s="20"/>
      <c r="O40" s="20"/>
      <c r="P40" s="52" t="s">
        <v>22</v>
      </c>
      <c r="Q40" s="33"/>
      <c r="R40" s="42">
        <v>46063</v>
      </c>
      <c r="S40" s="35"/>
      <c r="T40" s="57" t="s">
        <v>229</v>
      </c>
      <c r="U40" s="43" t="s">
        <v>83</v>
      </c>
      <c r="V40" s="10"/>
    </row>
    <row r="41" spans="1:55" x14ac:dyDescent="0.3">
      <c r="A41" s="1" t="s">
        <v>1</v>
      </c>
      <c r="B41" s="19" t="s">
        <v>5</v>
      </c>
      <c r="C41" s="7" t="s">
        <v>176</v>
      </c>
      <c r="D41" s="5" t="s">
        <v>8</v>
      </c>
      <c r="E41" s="20" t="s">
        <v>45</v>
      </c>
      <c r="F41" s="4" t="s">
        <v>11</v>
      </c>
      <c r="G41" s="10" t="s">
        <v>230</v>
      </c>
      <c r="H41" s="36" t="s">
        <v>128</v>
      </c>
      <c r="I41" s="5" t="s">
        <v>15</v>
      </c>
      <c r="J41" s="5" t="s">
        <v>231</v>
      </c>
      <c r="K41" s="17" t="s">
        <v>24</v>
      </c>
      <c r="L41" s="185" t="s">
        <v>29</v>
      </c>
      <c r="M41" s="16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41" s="20"/>
      <c r="O41" s="47" t="s">
        <v>232</v>
      </c>
      <c r="P41" s="52" t="s">
        <v>22</v>
      </c>
      <c r="Q41" s="61">
        <v>46069</v>
      </c>
      <c r="R41" s="121">
        <v>46027</v>
      </c>
      <c r="S41" s="121">
        <v>46056</v>
      </c>
      <c r="T41" s="57" t="s">
        <v>233</v>
      </c>
      <c r="U41" s="43" t="s">
        <v>83</v>
      </c>
      <c r="V41" s="10"/>
    </row>
    <row r="42" spans="1:55" x14ac:dyDescent="0.3">
      <c r="A42" s="1" t="s">
        <v>1</v>
      </c>
      <c r="B42" s="19" t="s">
        <v>5</v>
      </c>
      <c r="C42" s="7" t="s">
        <v>234</v>
      </c>
      <c r="D42" s="5" t="s">
        <v>8</v>
      </c>
      <c r="E42" s="20" t="s">
        <v>45</v>
      </c>
      <c r="F42" s="4" t="s">
        <v>11</v>
      </c>
      <c r="G42" s="10" t="s">
        <v>235</v>
      </c>
      <c r="H42" s="36" t="s">
        <v>148</v>
      </c>
      <c r="I42" s="5" t="s">
        <v>149</v>
      </c>
      <c r="J42" s="5" t="s">
        <v>236</v>
      </c>
      <c r="K42" s="17" t="s">
        <v>24</v>
      </c>
      <c r="L42" s="185" t="s">
        <v>29</v>
      </c>
      <c r="M42" s="16">
        <f ca="1">IF(Tabla1[[#This Row],[Estado]]="Activa",NETWORKDAYS(Tabla1[[#This Row],[Fecha Inicio Búsqueda]],TODAY()),NETWORKDAYS(Tabla1[[#This Row],[Fecha Inicio Búsqueda]],Tabla1[[#This Row],[Fecha Cubierta Búsqueda]]))</f>
        <v>30</v>
      </c>
      <c r="N42" s="20"/>
      <c r="O42" s="20"/>
      <c r="P42" s="52" t="s">
        <v>22</v>
      </c>
      <c r="Q42" s="179">
        <v>46113</v>
      </c>
      <c r="R42" s="66">
        <v>46050</v>
      </c>
      <c r="S42" s="180">
        <v>46091</v>
      </c>
      <c r="T42" s="57" t="s">
        <v>237</v>
      </c>
      <c r="U42" s="43" t="s">
        <v>83</v>
      </c>
      <c r="V42" s="138">
        <v>1200000</v>
      </c>
    </row>
    <row r="43" spans="1:55" x14ac:dyDescent="0.3">
      <c r="A43" s="1" t="s">
        <v>1</v>
      </c>
      <c r="B43" s="19" t="s">
        <v>5</v>
      </c>
      <c r="C43" s="7" t="s">
        <v>206</v>
      </c>
      <c r="D43" s="5" t="s">
        <v>8</v>
      </c>
      <c r="E43" s="20" t="s">
        <v>45</v>
      </c>
      <c r="F43" s="4" t="s">
        <v>11</v>
      </c>
      <c r="G43" s="10" t="s">
        <v>238</v>
      </c>
      <c r="H43" s="36" t="s">
        <v>148</v>
      </c>
      <c r="I43" s="5" t="s">
        <v>149</v>
      </c>
      <c r="J43" s="5" t="s">
        <v>239</v>
      </c>
      <c r="K43" s="17" t="s">
        <v>24</v>
      </c>
      <c r="L43" s="185" t="s">
        <v>29</v>
      </c>
      <c r="M43" s="16">
        <f ca="1">IF(Tabla1[[#This Row],[Estado]]="Activa",NETWORKDAYS(Tabla1[[#This Row],[Fecha Inicio Búsqueda]],TODAY()),NETWORKDAYS(Tabla1[[#This Row],[Fecha Inicio Búsqueda]],Tabla1[[#This Row],[Fecha Cubierta Búsqueda]]))</f>
        <v>16</v>
      </c>
      <c r="N43" s="20" t="s">
        <v>240</v>
      </c>
      <c r="O43" s="20" t="s">
        <v>241</v>
      </c>
      <c r="P43" s="52" t="s">
        <v>22</v>
      </c>
      <c r="Q43" s="136">
        <v>46083</v>
      </c>
      <c r="R43" s="66">
        <v>46051</v>
      </c>
      <c r="S43" s="42">
        <v>46072</v>
      </c>
      <c r="T43" s="57" t="s">
        <v>242</v>
      </c>
      <c r="U43" s="43" t="s">
        <v>83</v>
      </c>
      <c r="V43" s="138">
        <v>1200000</v>
      </c>
    </row>
    <row r="44" spans="1:55" x14ac:dyDescent="0.3">
      <c r="A44" s="1" t="s">
        <v>1</v>
      </c>
      <c r="B44" s="19" t="s">
        <v>5</v>
      </c>
      <c r="C44" s="7" t="s">
        <v>234</v>
      </c>
      <c r="D44" s="5" t="s">
        <v>8</v>
      </c>
      <c r="E44" s="20" t="s">
        <v>45</v>
      </c>
      <c r="F44" s="4" t="s">
        <v>11</v>
      </c>
      <c r="G44" s="10" t="s">
        <v>243</v>
      </c>
      <c r="H44" s="36" t="s">
        <v>148</v>
      </c>
      <c r="I44" s="5" t="s">
        <v>149</v>
      </c>
      <c r="J44" s="5" t="s">
        <v>244</v>
      </c>
      <c r="K44" s="17" t="s">
        <v>23</v>
      </c>
      <c r="L44" s="185" t="s">
        <v>28</v>
      </c>
      <c r="M44" s="16">
        <f ca="1">IF(Tabla1[[#This Row],[Estado]]="Activa",NETWORKDAYS(Tabla1[[#This Row],[Fecha Inicio Búsqueda]],TODAY()),NETWORKDAYS(Tabla1[[#This Row],[Fecha Inicio Búsqueda]],Tabla1[[#This Row],[Fecha Cubierta Búsqueda]]))</f>
        <v>40</v>
      </c>
      <c r="N44" s="20" t="s">
        <v>245</v>
      </c>
      <c r="O44" s="20"/>
      <c r="P44" s="52" t="s">
        <v>22</v>
      </c>
      <c r="Q44" s="33"/>
      <c r="R44" s="66">
        <v>46050</v>
      </c>
      <c r="S44" s="35"/>
      <c r="T44" s="57" t="s">
        <v>246</v>
      </c>
      <c r="U44" s="43" t="s">
        <v>83</v>
      </c>
      <c r="V44" s="138">
        <v>1200000</v>
      </c>
    </row>
    <row r="45" spans="1:55" ht="29.25" x14ac:dyDescent="0.3">
      <c r="A45" s="1" t="s">
        <v>1</v>
      </c>
      <c r="B45" s="19" t="s">
        <v>5</v>
      </c>
      <c r="C45" s="7" t="s">
        <v>206</v>
      </c>
      <c r="D45" s="5" t="s">
        <v>8</v>
      </c>
      <c r="E45" s="20" t="s">
        <v>45</v>
      </c>
      <c r="F45" s="4" t="s">
        <v>11</v>
      </c>
      <c r="G45" s="10" t="s">
        <v>198</v>
      </c>
      <c r="H45" s="36" t="s">
        <v>148</v>
      </c>
      <c r="I45" s="5" t="s">
        <v>149</v>
      </c>
      <c r="J45" s="5" t="s">
        <v>247</v>
      </c>
      <c r="K45" s="17" t="s">
        <v>23</v>
      </c>
      <c r="L45" s="185" t="s">
        <v>28</v>
      </c>
      <c r="M45" s="16">
        <f ca="1">IF(Tabla1[[#This Row],[Estado]]="Activa",NETWORKDAYS(Tabla1[[#This Row],[Fecha Inicio Búsqueda]],TODAY()),NETWORKDAYS(Tabla1[[#This Row],[Fecha Inicio Búsqueda]],Tabla1[[#This Row],[Fecha Cubierta Búsqueda]]))</f>
        <v>39</v>
      </c>
      <c r="N45" s="20" t="s">
        <v>248</v>
      </c>
      <c r="O45" s="20"/>
      <c r="P45" s="52" t="s">
        <v>22</v>
      </c>
      <c r="Q45" s="33"/>
      <c r="R45" s="66">
        <v>46051</v>
      </c>
      <c r="S45" s="35"/>
      <c r="T45" s="57" t="s">
        <v>200</v>
      </c>
      <c r="U45" s="43" t="s">
        <v>83</v>
      </c>
      <c r="V45" s="138">
        <v>1200000</v>
      </c>
    </row>
    <row r="46" spans="1:55" ht="15.75" x14ac:dyDescent="0.3">
      <c r="A46" s="1" t="s">
        <v>1</v>
      </c>
      <c r="B46" s="23" t="s">
        <v>5</v>
      </c>
      <c r="C46" s="1" t="s">
        <v>206</v>
      </c>
      <c r="D46" s="19" t="s">
        <v>8</v>
      </c>
      <c r="E46" s="20" t="s">
        <v>45</v>
      </c>
      <c r="F46" s="4" t="s">
        <v>11</v>
      </c>
      <c r="G46" s="10" t="s">
        <v>249</v>
      </c>
      <c r="H46" s="36" t="s">
        <v>250</v>
      </c>
      <c r="I46" s="5" t="s">
        <v>123</v>
      </c>
      <c r="J46" s="5" t="s">
        <v>251</v>
      </c>
      <c r="K46" s="17" t="s">
        <v>24</v>
      </c>
      <c r="L46" s="185" t="s">
        <v>29</v>
      </c>
      <c r="M46" s="16">
        <f ca="1">IF(Tabla1[[#This Row],[Estado]]="Activa",NETWORKDAYS(Tabla1[[#This Row],[Fecha Inicio Búsqueda]],TODAY()),NETWORKDAYS(Tabla1[[#This Row],[Fecha Inicio Búsqueda]],Tabla1[[#This Row],[Fecha Cubierta Búsqueda]]))</f>
        <v>35</v>
      </c>
      <c r="N46" s="20" t="s">
        <v>252</v>
      </c>
      <c r="O46" s="181" t="s">
        <v>253</v>
      </c>
      <c r="P46" s="52" t="s">
        <v>22</v>
      </c>
      <c r="Q46" s="179">
        <v>46087</v>
      </c>
      <c r="R46" s="42">
        <v>46049</v>
      </c>
      <c r="S46" s="180">
        <v>46097</v>
      </c>
      <c r="T46" s="57" t="s">
        <v>254</v>
      </c>
      <c r="U46" s="43" t="s">
        <v>83</v>
      </c>
      <c r="V46" s="10"/>
    </row>
    <row r="47" spans="1:55" ht="43.5" x14ac:dyDescent="0.3">
      <c r="A47" s="7" t="s">
        <v>1</v>
      </c>
      <c r="B47" s="24" t="s">
        <v>5</v>
      </c>
      <c r="C47" s="7" t="s">
        <v>206</v>
      </c>
      <c r="D47" s="25" t="s">
        <v>8</v>
      </c>
      <c r="E47" s="26" t="s">
        <v>45</v>
      </c>
      <c r="F47" s="4" t="s">
        <v>11</v>
      </c>
      <c r="G47" s="27" t="s">
        <v>136</v>
      </c>
      <c r="H47" s="37" t="s">
        <v>250</v>
      </c>
      <c r="I47" s="28" t="s">
        <v>123</v>
      </c>
      <c r="J47" s="28" t="s">
        <v>255</v>
      </c>
      <c r="K47" s="29" t="s">
        <v>23</v>
      </c>
      <c r="L47" s="185" t="s">
        <v>28</v>
      </c>
      <c r="M47" s="16">
        <f ca="1">IF(Tabla1[[#This Row],[Estado]]="Activa",NETWORKDAYS(Tabla1[[#This Row],[Fecha Inicio Búsqueda]],TODAY()),NETWORKDAYS(Tabla1[[#This Row],[Fecha Inicio Búsqueda]],Tabla1[[#This Row],[Fecha Cubierta Búsqueda]]))</f>
        <v>40</v>
      </c>
      <c r="N47" s="26" t="s">
        <v>256</v>
      </c>
      <c r="O47" s="26"/>
      <c r="P47" s="52" t="s">
        <v>22</v>
      </c>
      <c r="Q47" s="108"/>
      <c r="R47" s="42">
        <v>46050</v>
      </c>
      <c r="S47" s="35"/>
      <c r="T47" s="104" t="s">
        <v>137</v>
      </c>
      <c r="U47" s="43" t="s">
        <v>83</v>
      </c>
      <c r="V47" s="10"/>
    </row>
    <row r="48" spans="1:55" s="9" customFormat="1" ht="115.2" x14ac:dyDescent="0.3">
      <c r="A48" s="5" t="s">
        <v>0</v>
      </c>
      <c r="B48" s="24" t="s">
        <v>5</v>
      </c>
      <c r="C48" s="172" t="s">
        <v>257</v>
      </c>
      <c r="D48" s="25" t="s">
        <v>8</v>
      </c>
      <c r="E48" s="10" t="s">
        <v>46</v>
      </c>
      <c r="F48" s="176" t="s">
        <v>11</v>
      </c>
      <c r="G48" s="10" t="s">
        <v>258</v>
      </c>
      <c r="H48" s="45" t="s">
        <v>259</v>
      </c>
      <c r="I48" s="10" t="s">
        <v>123</v>
      </c>
      <c r="J48" s="10" t="s">
        <v>260</v>
      </c>
      <c r="K48" s="29" t="s">
        <v>23</v>
      </c>
      <c r="L48" s="185"/>
      <c r="M48" s="16">
        <f ca="1">IF(Tabla1[[#This Row],[Estado]]="Activa",NETWORKDAYS(Tabla1[[#This Row],[Fecha Inicio Búsqueda]],TODAY()),NETWORKDAYS(Tabla1[[#This Row],[Fecha Inicio Búsqueda]],Tabla1[[#This Row],[Fecha Cubierta Búsqueda]]))</f>
        <v>91</v>
      </c>
      <c r="N48" s="20" t="s">
        <v>261</v>
      </c>
      <c r="O48" s="47"/>
      <c r="P48" s="52" t="s">
        <v>22</v>
      </c>
      <c r="Q48" s="61"/>
      <c r="R48" s="80">
        <v>45979</v>
      </c>
      <c r="S48" s="80">
        <v>46079</v>
      </c>
      <c r="T48" s="58"/>
      <c r="U48" s="43" t="s">
        <v>83</v>
      </c>
      <c r="V48" s="10" t="s">
        <v>262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1:55" s="9" customFormat="1" x14ac:dyDescent="0.3">
      <c r="A49" s="5" t="s">
        <v>2</v>
      </c>
      <c r="B49" s="24" t="s">
        <v>5</v>
      </c>
      <c r="C49" s="10" t="s">
        <v>257</v>
      </c>
      <c r="D49" s="25" t="s">
        <v>8</v>
      </c>
      <c r="E49" s="10" t="s">
        <v>46</v>
      </c>
      <c r="F49" s="4" t="s">
        <v>11</v>
      </c>
      <c r="G49" s="10" t="s">
        <v>263</v>
      </c>
      <c r="H49" s="45" t="s">
        <v>264</v>
      </c>
      <c r="I49" s="1" t="s">
        <v>17</v>
      </c>
      <c r="J49" s="10" t="s">
        <v>265</v>
      </c>
      <c r="K49" s="29" t="s">
        <v>24</v>
      </c>
      <c r="L49" s="185"/>
      <c r="M49" s="16">
        <f ca="1">IF(Tabla1[[#This Row],[Estado]]="Activa",NETWORKDAYS(Tabla1[[#This Row],[Fecha Inicio Búsqueda]],TODAY()),NETWORKDAYS(Tabla1[[#This Row],[Fecha Inicio Búsqueda]],Tabla1[[#This Row],[Fecha Cubierta Búsqueda]]))</f>
        <v>20</v>
      </c>
      <c r="N49" s="20"/>
      <c r="O49" s="47" t="s">
        <v>266</v>
      </c>
      <c r="P49" s="3" t="s">
        <v>22</v>
      </c>
      <c r="Q49" s="61">
        <v>46055</v>
      </c>
      <c r="R49" s="66">
        <v>46003</v>
      </c>
      <c r="S49" s="66">
        <v>46030</v>
      </c>
      <c r="T49" s="58"/>
      <c r="U49" s="43" t="s">
        <v>83</v>
      </c>
      <c r="V49" s="10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s="9" customFormat="1" ht="28.8" x14ac:dyDescent="0.3">
      <c r="A50" s="5" t="s">
        <v>0</v>
      </c>
      <c r="B50" s="24" t="s">
        <v>5</v>
      </c>
      <c r="C50" s="172" t="s">
        <v>185</v>
      </c>
      <c r="D50" s="25" t="s">
        <v>8</v>
      </c>
      <c r="E50" s="10" t="s">
        <v>51</v>
      </c>
      <c r="F50" s="176" t="s">
        <v>12</v>
      </c>
      <c r="G50" s="10" t="s">
        <v>267</v>
      </c>
      <c r="H50" s="45" t="s">
        <v>268</v>
      </c>
      <c r="I50" s="10" t="s">
        <v>123</v>
      </c>
      <c r="J50" s="10" t="s">
        <v>269</v>
      </c>
      <c r="K50" s="29" t="s">
        <v>23</v>
      </c>
      <c r="L50" s="185"/>
      <c r="M50" s="16">
        <f ca="1">IF(Tabla1[[#This Row],[Estado]]="Activa",NETWORKDAYS(Tabla1[[#This Row],[Fecha Inicio Búsqueda]],TODAY()),NETWORKDAYS(Tabla1[[#This Row],[Fecha Inicio Búsqueda]],Tabla1[[#This Row],[Fecha Cubierta Búsqueda]]))</f>
        <v>91</v>
      </c>
      <c r="N50" s="20" t="s">
        <v>270</v>
      </c>
      <c r="O50" s="20"/>
      <c r="P50" s="52" t="s">
        <v>22</v>
      </c>
      <c r="Q50" s="10"/>
      <c r="R50" s="134">
        <v>45979</v>
      </c>
      <c r="S50" s="59"/>
      <c r="T50" s="33"/>
      <c r="U50" s="43" t="s">
        <v>83</v>
      </c>
      <c r="V50" s="1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9" customFormat="1" x14ac:dyDescent="0.3">
      <c r="A51" s="5" t="s">
        <v>2</v>
      </c>
      <c r="B51" s="24" t="s">
        <v>5</v>
      </c>
      <c r="C51" s="10" t="s">
        <v>271</v>
      </c>
      <c r="D51" s="25" t="s">
        <v>8</v>
      </c>
      <c r="E51" s="10" t="s">
        <v>46</v>
      </c>
      <c r="F51" s="4" t="s">
        <v>11</v>
      </c>
      <c r="G51" s="10" t="s">
        <v>272</v>
      </c>
      <c r="H51" s="45" t="s">
        <v>273</v>
      </c>
      <c r="I51" s="1" t="s">
        <v>17</v>
      </c>
      <c r="J51" s="10" t="s">
        <v>274</v>
      </c>
      <c r="K51" s="29" t="s">
        <v>25</v>
      </c>
      <c r="L51" s="185"/>
      <c r="M51" s="16">
        <f ca="1">IF(Tabla1[[#This Row],[Estado]]="Activa",NETWORKDAYS(Tabla1[[#This Row],[Fecha Inicio Búsqueda]],TODAY()),NETWORKDAYS(Tabla1[[#This Row],[Fecha Inicio Búsqueda]],Tabla1[[#This Row],[Fecha Cubierta Búsqueda]]))</f>
        <v>-32904</v>
      </c>
      <c r="N51" s="20" t="s">
        <v>275</v>
      </c>
      <c r="O51" s="20"/>
      <c r="P51" s="20" t="s">
        <v>22</v>
      </c>
      <c r="Q51" s="10"/>
      <c r="R51" s="135">
        <v>46065</v>
      </c>
      <c r="S51" s="108"/>
      <c r="T51" s="33"/>
      <c r="U51" s="43" t="s">
        <v>276</v>
      </c>
      <c r="V51" s="10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s="9" customFormat="1" ht="29.25" x14ac:dyDescent="0.3">
      <c r="A52" s="5" t="s">
        <v>2</v>
      </c>
      <c r="B52" s="24" t="s">
        <v>5</v>
      </c>
      <c r="C52" s="10" t="s">
        <v>277</v>
      </c>
      <c r="D52" s="25" t="s">
        <v>8</v>
      </c>
      <c r="E52" s="10" t="s">
        <v>46</v>
      </c>
      <c r="F52" s="4" t="s">
        <v>11</v>
      </c>
      <c r="G52" s="10" t="s">
        <v>278</v>
      </c>
      <c r="H52" s="45" t="s">
        <v>279</v>
      </c>
      <c r="I52" s="10" t="s">
        <v>123</v>
      </c>
      <c r="J52" s="10" t="s">
        <v>280</v>
      </c>
      <c r="K52" s="29" t="s">
        <v>25</v>
      </c>
      <c r="L52" s="185"/>
      <c r="M52" s="16">
        <f ca="1">IF(Tabla1[[#This Row],[Estado]]="Activa",NETWORKDAYS(Tabla1[[#This Row],[Fecha Inicio Búsqueda]],TODAY()),NETWORKDAYS(Tabla1[[#This Row],[Fecha Inicio Búsqueda]],Tabla1[[#This Row],[Fecha Cubierta Búsqueda]]))</f>
        <v>-32790</v>
      </c>
      <c r="N52" s="20" t="s">
        <v>281</v>
      </c>
      <c r="O52" s="20"/>
      <c r="P52" s="20" t="s">
        <v>22</v>
      </c>
      <c r="Q52" s="33"/>
      <c r="R52" s="42">
        <v>45905</v>
      </c>
      <c r="S52" s="35"/>
      <c r="T52" s="58"/>
      <c r="U52" s="43" t="s">
        <v>83</v>
      </c>
      <c r="V52" s="10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1:55" s="9" customFormat="1" ht="28.8" x14ac:dyDescent="0.3">
      <c r="A53" s="5" t="s">
        <v>0</v>
      </c>
      <c r="B53" s="24" t="s">
        <v>5</v>
      </c>
      <c r="C53" s="172" t="s">
        <v>282</v>
      </c>
      <c r="D53" s="25" t="s">
        <v>8</v>
      </c>
      <c r="E53" s="10" t="s">
        <v>51</v>
      </c>
      <c r="F53" s="176" t="s">
        <v>12</v>
      </c>
      <c r="G53" s="10" t="s">
        <v>283</v>
      </c>
      <c r="H53" s="45" t="s">
        <v>284</v>
      </c>
      <c r="I53" s="1" t="s">
        <v>17</v>
      </c>
      <c r="J53" s="10" t="s">
        <v>269</v>
      </c>
      <c r="K53" s="29" t="s">
        <v>23</v>
      </c>
      <c r="L53" s="185"/>
      <c r="M53" s="16">
        <f ca="1">IF(Tabla1[[#This Row],[Estado]]="Activa",NETWORKDAYS(Tabla1[[#This Row],[Fecha Inicio Búsqueda]],TODAY()),NETWORKDAYS(Tabla1[[#This Row],[Fecha Inicio Búsqueda]],Tabla1[[#This Row],[Fecha Cubierta Búsqueda]]))</f>
        <v>87</v>
      </c>
      <c r="N53" s="20" t="s">
        <v>285</v>
      </c>
      <c r="O53" s="20"/>
      <c r="P53" s="20" t="s">
        <v>22</v>
      </c>
      <c r="Q53" s="10"/>
      <c r="R53" s="134">
        <v>45985</v>
      </c>
      <c r="S53" s="59"/>
      <c r="T53" s="33"/>
      <c r="U53" s="43" t="s">
        <v>83</v>
      </c>
      <c r="V53" s="46">
        <v>4000000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s="9" customFormat="1" ht="28.8" x14ac:dyDescent="0.3">
      <c r="A54" s="5" t="s">
        <v>0</v>
      </c>
      <c r="B54" s="24" t="s">
        <v>5</v>
      </c>
      <c r="C54" s="172" t="s">
        <v>277</v>
      </c>
      <c r="D54" s="25" t="s">
        <v>8</v>
      </c>
      <c r="E54" s="10" t="s">
        <v>51</v>
      </c>
      <c r="F54" s="176" t="s">
        <v>12</v>
      </c>
      <c r="G54" s="10" t="s">
        <v>286</v>
      </c>
      <c r="H54" s="45" t="s">
        <v>287</v>
      </c>
      <c r="I54" s="1" t="s">
        <v>17</v>
      </c>
      <c r="J54" s="10" t="s">
        <v>269</v>
      </c>
      <c r="K54" s="29" t="s">
        <v>23</v>
      </c>
      <c r="L54" s="185"/>
      <c r="M54" s="16">
        <f ca="1">IF(Tabla1[[#This Row],[Estado]]="Activa",NETWORKDAYS(Tabla1[[#This Row],[Fecha Inicio Búsqueda]],TODAY()),NETWORKDAYS(Tabla1[[#This Row],[Fecha Inicio Búsqueda]],Tabla1[[#This Row],[Fecha Cubierta Búsqueda]]))</f>
        <v>-182</v>
      </c>
      <c r="N54" s="20" t="s">
        <v>288</v>
      </c>
      <c r="O54" s="20"/>
      <c r="P54" s="20" t="s">
        <v>22</v>
      </c>
      <c r="Q54" s="10"/>
      <c r="R54" s="136">
        <v>46358</v>
      </c>
      <c r="S54" s="33"/>
      <c r="T54" s="33"/>
      <c r="U54" s="43" t="s">
        <v>289</v>
      </c>
      <c r="V54" s="46" t="s">
        <v>290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 s="9" customFormat="1" x14ac:dyDescent="0.3">
      <c r="A55" s="5" t="s">
        <v>2</v>
      </c>
      <c r="B55" s="24" t="s">
        <v>5</v>
      </c>
      <c r="C55" s="10" t="s">
        <v>291</v>
      </c>
      <c r="D55" s="25" t="s">
        <v>8</v>
      </c>
      <c r="E55" s="10" t="s">
        <v>50</v>
      </c>
      <c r="F55" s="4" t="s">
        <v>11</v>
      </c>
      <c r="G55" s="10" t="s">
        <v>292</v>
      </c>
      <c r="H55" s="45" t="s">
        <v>293</v>
      </c>
      <c r="I55" s="10" t="s">
        <v>123</v>
      </c>
      <c r="J55" s="10" t="s">
        <v>294</v>
      </c>
      <c r="K55" s="29" t="s">
        <v>26</v>
      </c>
      <c r="L55" s="185"/>
      <c r="M55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55" s="20"/>
      <c r="O55" s="20"/>
      <c r="P55" s="20"/>
      <c r="Q55" s="10"/>
      <c r="R55" s="33"/>
      <c r="S55" s="33"/>
      <c r="T55" s="33"/>
      <c r="U55" s="43" t="s">
        <v>83</v>
      </c>
      <c r="V55" s="10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1:55" s="9" customFormat="1" x14ac:dyDescent="0.3">
      <c r="A56" s="5" t="s">
        <v>2</v>
      </c>
      <c r="B56" s="24" t="s">
        <v>5</v>
      </c>
      <c r="C56" s="172" t="s">
        <v>291</v>
      </c>
      <c r="D56" s="25" t="s">
        <v>8</v>
      </c>
      <c r="E56" s="10" t="s">
        <v>48</v>
      </c>
      <c r="F56" s="176" t="s">
        <v>11</v>
      </c>
      <c r="G56" s="10" t="s">
        <v>295</v>
      </c>
      <c r="H56" s="45" t="s">
        <v>296</v>
      </c>
      <c r="I56" s="10" t="s">
        <v>123</v>
      </c>
      <c r="J56" s="10" t="s">
        <v>297</v>
      </c>
      <c r="K56" s="29" t="s">
        <v>23</v>
      </c>
      <c r="L56" s="127" t="s">
        <v>29</v>
      </c>
      <c r="M56" s="16">
        <f ca="1">IF(Tabla1[[#This Row],[Estado]]="Activa",NETWORKDAYS(Tabla1[[#This Row],[Fecha Inicio Búsqueda]],TODAY()),NETWORKDAYS(Tabla1[[#This Row],[Fecha Inicio Búsqueda]],Tabla1[[#This Row],[Fecha Cubierta Búsqueda]]))</f>
        <v>52</v>
      </c>
      <c r="N56" s="20" t="s">
        <v>298</v>
      </c>
      <c r="O56" s="20" t="s">
        <v>299</v>
      </c>
      <c r="P56" s="20" t="s">
        <v>22</v>
      </c>
      <c r="Q56" s="137">
        <v>46118</v>
      </c>
      <c r="R56" s="136">
        <v>46034</v>
      </c>
      <c r="S56" s="136">
        <v>46086</v>
      </c>
      <c r="T56" s="33"/>
      <c r="U56" s="43" t="s">
        <v>83</v>
      </c>
      <c r="V56" s="10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5" s="9" customFormat="1" ht="43.5" x14ac:dyDescent="0.3">
      <c r="A57" s="5" t="s">
        <v>2</v>
      </c>
      <c r="B57" s="24" t="s">
        <v>5</v>
      </c>
      <c r="C57" s="172" t="s">
        <v>300</v>
      </c>
      <c r="D57" s="25" t="s">
        <v>133</v>
      </c>
      <c r="E57" s="10" t="s">
        <v>51</v>
      </c>
      <c r="F57" s="176" t="s">
        <v>12</v>
      </c>
      <c r="G57" s="10" t="s">
        <v>301</v>
      </c>
      <c r="H57" s="45" t="s">
        <v>302</v>
      </c>
      <c r="I57" s="10" t="s">
        <v>303</v>
      </c>
      <c r="J57" s="10" t="s">
        <v>269</v>
      </c>
      <c r="K57" s="29" t="s">
        <v>25</v>
      </c>
      <c r="L57" s="185"/>
      <c r="M57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57" s="20" t="s">
        <v>304</v>
      </c>
      <c r="O57" s="20"/>
      <c r="P57" s="20" t="s">
        <v>22</v>
      </c>
      <c r="Q57" s="10"/>
      <c r="R57" s="33"/>
      <c r="S57" s="33"/>
      <c r="T57" s="33"/>
      <c r="U57" s="43" t="s">
        <v>83</v>
      </c>
      <c r="V57" s="10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1:55" s="9" customFormat="1" x14ac:dyDescent="0.3">
      <c r="A58" s="5" t="s">
        <v>2</v>
      </c>
      <c r="B58" s="24" t="s">
        <v>5</v>
      </c>
      <c r="C58" s="27" t="s">
        <v>291</v>
      </c>
      <c r="D58" s="25" t="s">
        <v>8</v>
      </c>
      <c r="E58" s="10" t="s">
        <v>43</v>
      </c>
      <c r="F58" s="4" t="s">
        <v>11</v>
      </c>
      <c r="G58" s="27" t="s">
        <v>305</v>
      </c>
      <c r="H58" s="45" t="s">
        <v>306</v>
      </c>
      <c r="I58" s="1" t="s">
        <v>17</v>
      </c>
      <c r="J58" s="10" t="s">
        <v>307</v>
      </c>
      <c r="K58" s="29" t="s">
        <v>24</v>
      </c>
      <c r="L58" s="185"/>
      <c r="M58" s="16">
        <f ca="1">IF(Tabla1[[#This Row],[Estado]]="Activa",NETWORKDAYS(Tabla1[[#This Row],[Fecha Inicio Búsqueda]],TODAY()),NETWORKDAYS(Tabla1[[#This Row],[Fecha Inicio Búsqueda]],Tabla1[[#This Row],[Fecha Cubierta Búsqueda]]))</f>
        <v>21</v>
      </c>
      <c r="N58" s="20"/>
      <c r="O58" s="20" t="s">
        <v>308</v>
      </c>
      <c r="P58" s="20" t="s">
        <v>20</v>
      </c>
      <c r="Q58" s="137">
        <v>46082</v>
      </c>
      <c r="R58" s="136">
        <v>46038</v>
      </c>
      <c r="S58" s="136">
        <v>46068</v>
      </c>
      <c r="T58" s="33"/>
      <c r="U58" s="43" t="s">
        <v>83</v>
      </c>
      <c r="V58" s="10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1:55" s="9" customFormat="1" ht="43.5" x14ac:dyDescent="0.3">
      <c r="A59" s="5" t="s">
        <v>2</v>
      </c>
      <c r="B59" s="24" t="s">
        <v>5</v>
      </c>
      <c r="C59" s="10" t="s">
        <v>309</v>
      </c>
      <c r="D59" s="10" t="s">
        <v>133</v>
      </c>
      <c r="E59" s="10" t="s">
        <v>50</v>
      </c>
      <c r="F59" s="4" t="s">
        <v>11</v>
      </c>
      <c r="G59" s="10" t="s">
        <v>310</v>
      </c>
      <c r="H59" s="45" t="s">
        <v>311</v>
      </c>
      <c r="I59" s="5" t="s">
        <v>18</v>
      </c>
      <c r="J59" s="10" t="s">
        <v>312</v>
      </c>
      <c r="K59" s="29" t="s">
        <v>24</v>
      </c>
      <c r="L59" s="185"/>
      <c r="M59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59" s="20" t="s">
        <v>313</v>
      </c>
      <c r="O59" s="20" t="s">
        <v>314</v>
      </c>
      <c r="P59" s="20" t="s">
        <v>22</v>
      </c>
      <c r="Q59" s="10"/>
      <c r="R59" s="33"/>
      <c r="S59" s="33"/>
      <c r="T59" s="33"/>
      <c r="U59" s="43" t="s">
        <v>83</v>
      </c>
      <c r="V59" s="10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1:55" s="9" customFormat="1" ht="28.8" x14ac:dyDescent="0.3">
      <c r="A60" s="5" t="s">
        <v>0</v>
      </c>
      <c r="B60" s="24" t="s">
        <v>5</v>
      </c>
      <c r="C60" s="172" t="s">
        <v>315</v>
      </c>
      <c r="D60" s="10" t="s">
        <v>8</v>
      </c>
      <c r="E60" s="10" t="s">
        <v>46</v>
      </c>
      <c r="F60" s="176" t="s">
        <v>12</v>
      </c>
      <c r="G60" s="10" t="s">
        <v>263</v>
      </c>
      <c r="H60" s="45" t="s">
        <v>316</v>
      </c>
      <c r="I60" s="1" t="s">
        <v>17</v>
      </c>
      <c r="J60" s="10" t="s">
        <v>317</v>
      </c>
      <c r="K60" s="29" t="s">
        <v>23</v>
      </c>
      <c r="L60" s="185"/>
      <c r="M60" s="16">
        <f ca="1">IF(Tabla1[[#This Row],[Estado]]="Activa",NETWORKDAYS(Tabla1[[#This Row],[Fecha Inicio Búsqueda]],TODAY()),NETWORKDAYS(Tabla1[[#This Row],[Fecha Inicio Búsqueda]],Tabla1[[#This Row],[Fecha Cubierta Búsqueda]]))</f>
        <v>47</v>
      </c>
      <c r="N60" s="20" t="s">
        <v>318</v>
      </c>
      <c r="O60" s="20"/>
      <c r="P60" s="20" t="s">
        <v>22</v>
      </c>
      <c r="Q60" s="10"/>
      <c r="R60" s="136">
        <v>46041</v>
      </c>
      <c r="S60" s="33"/>
      <c r="T60" s="33"/>
      <c r="U60" s="43" t="s">
        <v>83</v>
      </c>
      <c r="V60" s="46" t="s">
        <v>319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s="9" customFormat="1" x14ac:dyDescent="0.3">
      <c r="A61" s="5" t="s">
        <v>2</v>
      </c>
      <c r="B61" s="24" t="s">
        <v>5</v>
      </c>
      <c r="C61" s="173" t="s">
        <v>291</v>
      </c>
      <c r="D61" s="27" t="s">
        <v>8</v>
      </c>
      <c r="E61" s="27" t="s">
        <v>48</v>
      </c>
      <c r="F61" s="177" t="s">
        <v>11</v>
      </c>
      <c r="G61" s="27" t="s">
        <v>295</v>
      </c>
      <c r="H61" s="45" t="s">
        <v>296</v>
      </c>
      <c r="I61" s="27" t="s">
        <v>123</v>
      </c>
      <c r="J61" s="27" t="s">
        <v>102</v>
      </c>
      <c r="K61" s="29" t="s">
        <v>23</v>
      </c>
      <c r="L61" s="127" t="s">
        <v>29</v>
      </c>
      <c r="M61" s="16">
        <f ca="1">IF(Tabla1[[#This Row],[Estado]]="Activa",NETWORKDAYS(Tabla1[[#This Row],[Fecha Inicio Búsqueda]],TODAY()),NETWORKDAYS(Tabla1[[#This Row],[Fecha Inicio Búsqueda]],Tabla1[[#This Row],[Fecha Cubierta Búsqueda]]))</f>
        <v>31</v>
      </c>
      <c r="N61" s="26" t="s">
        <v>320</v>
      </c>
      <c r="O61" s="26" t="s">
        <v>321</v>
      </c>
      <c r="P61" s="26" t="s">
        <v>22</v>
      </c>
      <c r="Q61" s="170">
        <v>46113</v>
      </c>
      <c r="R61" s="135">
        <v>46063</v>
      </c>
      <c r="S61" s="136">
        <v>46086</v>
      </c>
      <c r="T61" s="108"/>
      <c r="U61" s="72" t="s">
        <v>83</v>
      </c>
      <c r="V61" s="10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s="9" customFormat="1" x14ac:dyDescent="0.3">
      <c r="A62" s="5" t="s">
        <v>0</v>
      </c>
      <c r="B62" s="24" t="s">
        <v>5</v>
      </c>
      <c r="C62" s="43" t="s">
        <v>322</v>
      </c>
      <c r="D62" s="1" t="s">
        <v>9</v>
      </c>
      <c r="E62" s="78" t="s">
        <v>114</v>
      </c>
      <c r="F62" s="81" t="s">
        <v>12</v>
      </c>
      <c r="G62" s="35" t="s">
        <v>323</v>
      </c>
      <c r="H62" s="45" t="s">
        <v>324</v>
      </c>
      <c r="I62" s="1" t="s">
        <v>18</v>
      </c>
      <c r="J62" s="1" t="s">
        <v>94</v>
      </c>
      <c r="K62" s="15" t="s">
        <v>24</v>
      </c>
      <c r="L62" s="16"/>
      <c r="M62" s="16">
        <f ca="1">IF(Tabla1[[#This Row],[Estado]]="Activa",NETWORKDAYS(Tabla1[[#This Row],[Fecha Inicio Búsqueda]],TODAY()),NETWORKDAYS(Tabla1[[#This Row],[Fecha Inicio Búsqueda]],Tabla1[[#This Row],[Fecha Cubierta Búsqueda]]))</f>
        <v>41</v>
      </c>
      <c r="N62" s="34"/>
      <c r="O62" s="103" t="s">
        <v>325</v>
      </c>
      <c r="P62" s="13"/>
      <c r="Q62" s="70">
        <v>46069</v>
      </c>
      <c r="R62" s="145">
        <v>46000</v>
      </c>
      <c r="S62" s="145">
        <v>46056</v>
      </c>
      <c r="T62" s="35"/>
      <c r="U62" s="35" t="s">
        <v>83</v>
      </c>
      <c r="V62" s="105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5" s="9" customFormat="1" x14ac:dyDescent="0.3">
      <c r="A63" s="5" t="s">
        <v>0</v>
      </c>
      <c r="B63" s="24" t="s">
        <v>5</v>
      </c>
      <c r="C63" s="43" t="s">
        <v>322</v>
      </c>
      <c r="D63" s="1" t="s">
        <v>9</v>
      </c>
      <c r="E63" s="78" t="s">
        <v>114</v>
      </c>
      <c r="F63" s="81" t="s">
        <v>12</v>
      </c>
      <c r="G63" s="35" t="s">
        <v>323</v>
      </c>
      <c r="H63" s="45" t="s">
        <v>326</v>
      </c>
      <c r="I63" s="1" t="s">
        <v>18</v>
      </c>
      <c r="J63" s="1" t="s">
        <v>94</v>
      </c>
      <c r="K63" s="15" t="s">
        <v>24</v>
      </c>
      <c r="L63" s="16"/>
      <c r="M63" s="16">
        <f ca="1">IF(Tabla1[[#This Row],[Estado]]="Activa",NETWORKDAYS(Tabla1[[#This Row],[Fecha Inicio Búsqueda]],TODAY()),NETWORKDAYS(Tabla1[[#This Row],[Fecha Inicio Búsqueda]],Tabla1[[#This Row],[Fecha Cubierta Búsqueda]]))</f>
        <v>41</v>
      </c>
      <c r="N63" s="34"/>
      <c r="O63" s="132" t="s">
        <v>327</v>
      </c>
      <c r="P63" s="8" t="s">
        <v>22</v>
      </c>
      <c r="Q63" s="128">
        <v>46083</v>
      </c>
      <c r="R63" s="145">
        <v>46000</v>
      </c>
      <c r="S63" s="145">
        <v>46056</v>
      </c>
      <c r="T63" s="74"/>
      <c r="U63" s="35" t="s">
        <v>83</v>
      </c>
      <c r="V63" s="105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1:55" x14ac:dyDescent="0.3">
      <c r="A64" s="28" t="s">
        <v>0</v>
      </c>
      <c r="B64" s="24" t="s">
        <v>5</v>
      </c>
      <c r="C64" s="112" t="s">
        <v>328</v>
      </c>
      <c r="D64" s="1" t="s">
        <v>9</v>
      </c>
      <c r="E64" s="78" t="s">
        <v>114</v>
      </c>
      <c r="F64" s="110" t="s">
        <v>12</v>
      </c>
      <c r="G64" s="44" t="s">
        <v>323</v>
      </c>
      <c r="H64" s="45" t="s">
        <v>329</v>
      </c>
      <c r="I64" s="96" t="s">
        <v>18</v>
      </c>
      <c r="J64" s="96" t="s">
        <v>94</v>
      </c>
      <c r="K64" s="97" t="s">
        <v>23</v>
      </c>
      <c r="L64" s="186"/>
      <c r="M64" s="16">
        <f ca="1">IF(Tabla1[[#This Row],[Estado]]="Activa",NETWORKDAYS(Tabla1[[#This Row],[Fecha Inicio Búsqueda]],TODAY()),NETWORKDAYS(Tabla1[[#This Row],[Fecha Inicio Búsqueda]],Tabla1[[#This Row],[Fecha Cubierta Búsqueda]]))</f>
        <v>38</v>
      </c>
      <c r="N64" s="130" t="s">
        <v>330</v>
      </c>
      <c r="O64" s="34"/>
      <c r="P64" s="34"/>
      <c r="Q64" s="35"/>
      <c r="R64" s="42">
        <v>46052</v>
      </c>
      <c r="S64" s="35"/>
      <c r="T64" s="35"/>
      <c r="U64" s="79" t="s">
        <v>83</v>
      </c>
      <c r="V64" s="10"/>
    </row>
    <row r="65" spans="1:22" x14ac:dyDescent="0.3">
      <c r="A65" s="1" t="s">
        <v>0</v>
      </c>
      <c r="B65" s="6" t="s">
        <v>5</v>
      </c>
      <c r="C65" s="1" t="s">
        <v>79</v>
      </c>
      <c r="D65" s="111" t="s">
        <v>8</v>
      </c>
      <c r="E65" s="35" t="s">
        <v>331</v>
      </c>
      <c r="F65" s="81" t="s">
        <v>11</v>
      </c>
      <c r="G65" s="1" t="s">
        <v>332</v>
      </c>
      <c r="H65" s="45" t="s">
        <v>333</v>
      </c>
      <c r="I65" s="1" t="s">
        <v>17</v>
      </c>
      <c r="J65" s="35" t="s">
        <v>334</v>
      </c>
      <c r="K65" s="15" t="s">
        <v>23</v>
      </c>
      <c r="L65" s="16"/>
      <c r="M65" s="16">
        <f ca="1">IF(Tabla1[[#This Row],[Estado]]="Activa",NETWORKDAYS(Tabla1[[#This Row],[Fecha Inicio Búsqueda]],TODAY()),NETWORKDAYS(Tabla1[[#This Row],[Fecha Inicio Búsqueda]],Tabla1[[#This Row],[Fecha Cubierta Búsqueda]]))</f>
        <v>57</v>
      </c>
      <c r="N65" s="49" t="s">
        <v>335</v>
      </c>
      <c r="O65" s="34"/>
      <c r="P65" s="34"/>
      <c r="Q65" s="35"/>
      <c r="R65" s="42">
        <v>46027</v>
      </c>
      <c r="S65" s="35"/>
      <c r="T65" s="35"/>
      <c r="U65" s="55" t="s">
        <v>83</v>
      </c>
      <c r="V65" s="10"/>
    </row>
    <row r="66" spans="1:22" x14ac:dyDescent="0.3">
      <c r="A66" s="1" t="s">
        <v>3</v>
      </c>
      <c r="B66" s="6" t="s">
        <v>6</v>
      </c>
      <c r="C66" s="1" t="s">
        <v>336</v>
      </c>
      <c r="D66" s="2" t="s">
        <v>8</v>
      </c>
      <c r="E66" s="44" t="s">
        <v>337</v>
      </c>
      <c r="F66" s="94" t="s">
        <v>11</v>
      </c>
      <c r="G66" s="95" t="s">
        <v>338</v>
      </c>
      <c r="H66" s="45" t="s">
        <v>339</v>
      </c>
      <c r="I66" s="96" t="s">
        <v>13</v>
      </c>
      <c r="J66" s="98" t="s">
        <v>340</v>
      </c>
      <c r="K66" s="100" t="s">
        <v>24</v>
      </c>
      <c r="L66" s="185" t="s">
        <v>29</v>
      </c>
      <c r="M66" s="16">
        <f ca="1">IF(Tabla1[[#This Row],[Estado]]="Activa",NETWORKDAYS(Tabla1[[#This Row],[Fecha Inicio Búsqueda]],TODAY()),NETWORKDAYS(Tabla1[[#This Row],[Fecha Inicio Búsqueda]],Tabla1[[#This Row],[Fecha Cubierta Búsqueda]]))</f>
        <v>15</v>
      </c>
      <c r="N66" s="53"/>
      <c r="O66" s="102" t="s">
        <v>341</v>
      </c>
      <c r="P66" s="69"/>
      <c r="Q66" s="67">
        <v>46027</v>
      </c>
      <c r="R66" s="80">
        <v>45994</v>
      </c>
      <c r="S66" s="80">
        <v>46014</v>
      </c>
      <c r="T66" s="79" t="s">
        <v>342</v>
      </c>
      <c r="U66" s="43" t="s">
        <v>83</v>
      </c>
      <c r="V66" s="10"/>
    </row>
    <row r="67" spans="1:22" x14ac:dyDescent="0.3">
      <c r="A67" s="1" t="s">
        <v>3</v>
      </c>
      <c r="B67" s="6" t="s">
        <v>6</v>
      </c>
      <c r="C67" s="1" t="s">
        <v>336</v>
      </c>
      <c r="D67" s="2" t="s">
        <v>8</v>
      </c>
      <c r="E67" s="35" t="s">
        <v>337</v>
      </c>
      <c r="F67" s="4" t="s">
        <v>12</v>
      </c>
      <c r="G67" s="21" t="s">
        <v>343</v>
      </c>
      <c r="H67" s="45" t="s">
        <v>339</v>
      </c>
      <c r="I67" s="6" t="s">
        <v>13</v>
      </c>
      <c r="J67" s="10" t="s">
        <v>334</v>
      </c>
      <c r="K67" s="17" t="s">
        <v>24</v>
      </c>
      <c r="L67" s="185" t="s">
        <v>29</v>
      </c>
      <c r="M67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67" s="34"/>
      <c r="O67" s="48" t="s">
        <v>344</v>
      </c>
      <c r="P67" s="3"/>
      <c r="Q67" s="63">
        <v>46027</v>
      </c>
      <c r="R67" s="66">
        <v>46010</v>
      </c>
      <c r="S67" s="80">
        <v>46014</v>
      </c>
      <c r="T67" s="79" t="s">
        <v>342</v>
      </c>
      <c r="U67" s="43" t="s">
        <v>83</v>
      </c>
      <c r="V67" s="10"/>
    </row>
    <row r="68" spans="1:22" x14ac:dyDescent="0.3">
      <c r="A68" s="1" t="s">
        <v>3</v>
      </c>
      <c r="B68" s="6" t="s">
        <v>6</v>
      </c>
      <c r="C68" s="1" t="s">
        <v>195</v>
      </c>
      <c r="D68" s="2" t="s">
        <v>8</v>
      </c>
      <c r="E68" s="35" t="s">
        <v>45</v>
      </c>
      <c r="F68" s="4" t="s">
        <v>11</v>
      </c>
      <c r="G68" s="21" t="s">
        <v>345</v>
      </c>
      <c r="H68" s="45" t="s">
        <v>346</v>
      </c>
      <c r="I68" s="6" t="s">
        <v>123</v>
      </c>
      <c r="J68" s="10" t="s">
        <v>347</v>
      </c>
      <c r="K68" s="17" t="s">
        <v>24</v>
      </c>
      <c r="L68" s="185" t="s">
        <v>29</v>
      </c>
      <c r="M68" s="16">
        <f ca="1">IF(Tabla1[[#This Row],[Estado]]="Activa",NETWORKDAYS(Tabla1[[#This Row],[Fecha Inicio Búsqueda]],TODAY()),NETWORKDAYS(Tabla1[[#This Row],[Fecha Inicio Búsqueda]],Tabla1[[#This Row],[Fecha Cubierta Búsqueda]]))</f>
        <v>0</v>
      </c>
      <c r="N68" s="34" t="s">
        <v>348</v>
      </c>
      <c r="O68" s="48" t="s">
        <v>349</v>
      </c>
      <c r="P68" s="3" t="s">
        <v>20</v>
      </c>
      <c r="Q68" s="63">
        <v>46023</v>
      </c>
      <c r="R68" s="66"/>
      <c r="S68" s="66"/>
      <c r="T68" s="55" t="s">
        <v>350</v>
      </c>
      <c r="U68" s="43" t="s">
        <v>83</v>
      </c>
      <c r="V68" s="10"/>
    </row>
    <row r="69" spans="1:22" x14ac:dyDescent="0.3">
      <c r="A69" s="1" t="s">
        <v>3</v>
      </c>
      <c r="B69" s="6" t="s">
        <v>6</v>
      </c>
      <c r="C69" s="1" t="s">
        <v>351</v>
      </c>
      <c r="D69" s="2" t="s">
        <v>8</v>
      </c>
      <c r="E69" s="35" t="s">
        <v>45</v>
      </c>
      <c r="F69" s="4" t="s">
        <v>11</v>
      </c>
      <c r="G69" s="21" t="s">
        <v>352</v>
      </c>
      <c r="H69" s="45" t="s">
        <v>346</v>
      </c>
      <c r="I69" s="6" t="s">
        <v>123</v>
      </c>
      <c r="J69" s="10" t="s">
        <v>349</v>
      </c>
      <c r="K69" s="17" t="s">
        <v>24</v>
      </c>
      <c r="L69" s="185" t="s">
        <v>29</v>
      </c>
      <c r="M69" s="16">
        <f ca="1">IF(Tabla1[[#This Row],[Estado]]="Activa",NETWORKDAYS(Tabla1[[#This Row],[Fecha Inicio Búsqueda]],TODAY()),NETWORKDAYS(Tabla1[[#This Row],[Fecha Inicio Búsqueda]],Tabla1[[#This Row],[Fecha Cubierta Búsqueda]]))</f>
        <v>31</v>
      </c>
      <c r="N69" s="34"/>
      <c r="O69" s="48" t="s">
        <v>353</v>
      </c>
      <c r="P69" s="3"/>
      <c r="Q69" s="63">
        <v>46041</v>
      </c>
      <c r="R69" s="66">
        <v>45985</v>
      </c>
      <c r="S69" s="66">
        <v>46027</v>
      </c>
      <c r="T69" s="55" t="s">
        <v>354</v>
      </c>
      <c r="U69" s="43" t="s">
        <v>83</v>
      </c>
      <c r="V69" s="10"/>
    </row>
    <row r="70" spans="1:22" x14ac:dyDescent="0.3">
      <c r="A70" s="1" t="s">
        <v>3</v>
      </c>
      <c r="B70" s="6" t="s">
        <v>6</v>
      </c>
      <c r="C70" s="1" t="s">
        <v>355</v>
      </c>
      <c r="D70" s="2" t="s">
        <v>8</v>
      </c>
      <c r="E70" s="35" t="s">
        <v>337</v>
      </c>
      <c r="F70" s="4" t="s">
        <v>11</v>
      </c>
      <c r="G70" s="43" t="s">
        <v>356</v>
      </c>
      <c r="H70" s="45" t="s">
        <v>357</v>
      </c>
      <c r="I70" s="6" t="s">
        <v>123</v>
      </c>
      <c r="J70" s="10" t="s">
        <v>358</v>
      </c>
      <c r="K70" s="17" t="s">
        <v>24</v>
      </c>
      <c r="L70" s="185" t="s">
        <v>29</v>
      </c>
      <c r="M70" s="16">
        <f ca="1">IF(Tabla1[[#This Row],[Estado]]="Activa",NETWORKDAYS(Tabla1[[#This Row],[Fecha Inicio Búsqueda]],TODAY()),NETWORKDAYS(Tabla1[[#This Row],[Fecha Inicio Búsqueda]],Tabla1[[#This Row],[Fecha Cubierta Búsqueda]]))</f>
        <v>31</v>
      </c>
      <c r="N70" s="34"/>
      <c r="O70" s="48" t="s">
        <v>359</v>
      </c>
      <c r="P70" s="3"/>
      <c r="Q70" s="63">
        <v>46041</v>
      </c>
      <c r="R70" s="66">
        <v>45971</v>
      </c>
      <c r="S70" s="66">
        <v>46013</v>
      </c>
      <c r="T70" s="55" t="s">
        <v>342</v>
      </c>
      <c r="U70" s="43" t="s">
        <v>83</v>
      </c>
      <c r="V70" s="10"/>
    </row>
    <row r="71" spans="1:22" x14ac:dyDescent="0.3">
      <c r="A71" s="1" t="s">
        <v>3</v>
      </c>
      <c r="B71" s="6" t="s">
        <v>6</v>
      </c>
      <c r="C71" s="1" t="s">
        <v>360</v>
      </c>
      <c r="D71" s="2" t="s">
        <v>8</v>
      </c>
      <c r="E71" s="35" t="s">
        <v>361</v>
      </c>
      <c r="F71" s="4" t="s">
        <v>12</v>
      </c>
      <c r="G71" s="21" t="s">
        <v>362</v>
      </c>
      <c r="H71" s="45" t="s">
        <v>339</v>
      </c>
      <c r="I71" s="6" t="s">
        <v>13</v>
      </c>
      <c r="J71" s="10" t="s">
        <v>94</v>
      </c>
      <c r="K71" s="17" t="s">
        <v>24</v>
      </c>
      <c r="L71" s="185" t="s">
        <v>29</v>
      </c>
      <c r="M71" s="16">
        <f ca="1">IF(Tabla1[[#This Row],[Estado]]="Activa",NETWORKDAYS(Tabla1[[#This Row],[Fecha Inicio Búsqueda]],TODAY()),NETWORKDAYS(Tabla1[[#This Row],[Fecha Inicio Búsqueda]],Tabla1[[#This Row],[Fecha Cubierta Búsqueda]]))</f>
        <v>15</v>
      </c>
      <c r="N71" s="34"/>
      <c r="O71" s="48" t="s">
        <v>363</v>
      </c>
      <c r="P71" s="3"/>
      <c r="Q71" s="63">
        <v>46055</v>
      </c>
      <c r="R71" s="66">
        <v>46015</v>
      </c>
      <c r="S71" s="66">
        <v>46035</v>
      </c>
      <c r="T71" s="55" t="s">
        <v>364</v>
      </c>
      <c r="U71" s="43" t="s">
        <v>83</v>
      </c>
      <c r="V71" s="10"/>
    </row>
    <row r="72" spans="1:22" x14ac:dyDescent="0.3">
      <c r="A72" s="1" t="s">
        <v>3</v>
      </c>
      <c r="B72" s="6" t="s">
        <v>6</v>
      </c>
      <c r="C72" s="1" t="s">
        <v>360</v>
      </c>
      <c r="D72" s="2" t="s">
        <v>10</v>
      </c>
      <c r="E72" s="35" t="s">
        <v>45</v>
      </c>
      <c r="F72" s="4" t="s">
        <v>11</v>
      </c>
      <c r="G72" s="21" t="s">
        <v>365</v>
      </c>
      <c r="H72" s="45" t="s">
        <v>366</v>
      </c>
      <c r="I72" s="6" t="s">
        <v>123</v>
      </c>
      <c r="J72" s="10" t="s">
        <v>367</v>
      </c>
      <c r="K72" s="17" t="s">
        <v>24</v>
      </c>
      <c r="L72" s="185" t="s">
        <v>29</v>
      </c>
      <c r="M72" s="16">
        <f ca="1">IF(Tabla1[[#This Row],[Estado]]="Activa",NETWORKDAYS(Tabla1[[#This Row],[Fecha Inicio Búsqueda]],TODAY()),NETWORKDAYS(Tabla1[[#This Row],[Fecha Inicio Búsqueda]],Tabla1[[#This Row],[Fecha Cubierta Búsqueda]]))</f>
        <v>29</v>
      </c>
      <c r="N72" s="34"/>
      <c r="O72" s="48" t="s">
        <v>368</v>
      </c>
      <c r="P72" s="3"/>
      <c r="Q72" s="63">
        <v>46083</v>
      </c>
      <c r="R72" s="66">
        <v>46015</v>
      </c>
      <c r="S72" s="66">
        <v>46055</v>
      </c>
      <c r="T72" s="55" t="s">
        <v>369</v>
      </c>
      <c r="U72" s="43" t="s">
        <v>83</v>
      </c>
      <c r="V72" s="10"/>
    </row>
    <row r="73" spans="1:22" x14ac:dyDescent="0.3">
      <c r="A73" s="1" t="s">
        <v>3</v>
      </c>
      <c r="B73" s="6" t="s">
        <v>6</v>
      </c>
      <c r="C73" s="1" t="s">
        <v>370</v>
      </c>
      <c r="D73" s="2" t="s">
        <v>8</v>
      </c>
      <c r="E73" s="35" t="s">
        <v>43</v>
      </c>
      <c r="F73" s="4" t="s">
        <v>11</v>
      </c>
      <c r="G73" s="21" t="s">
        <v>371</v>
      </c>
      <c r="H73" s="45" t="s">
        <v>372</v>
      </c>
      <c r="I73" s="6" t="s">
        <v>123</v>
      </c>
      <c r="J73" s="10" t="s">
        <v>373</v>
      </c>
      <c r="K73" s="17" t="s">
        <v>24</v>
      </c>
      <c r="L73" s="185" t="s">
        <v>29</v>
      </c>
      <c r="M73" s="16">
        <f ca="1">IF(Tabla1[[#This Row],[Estado]]="Activa",NETWORKDAYS(Tabla1[[#This Row],[Fecha Inicio Búsqueda]],TODAY()),NETWORKDAYS(Tabla1[[#This Row],[Fecha Inicio Búsqueda]],Tabla1[[#This Row],[Fecha Cubierta Búsqueda]]))</f>
        <v>40</v>
      </c>
      <c r="N73" s="34" t="s">
        <v>374</v>
      </c>
      <c r="O73" s="48" t="s">
        <v>375</v>
      </c>
      <c r="P73" s="3" t="s">
        <v>20</v>
      </c>
      <c r="Q73" s="63">
        <v>46082</v>
      </c>
      <c r="R73" s="66">
        <v>46002</v>
      </c>
      <c r="S73" s="66">
        <v>46057</v>
      </c>
      <c r="T73" s="88" t="s">
        <v>376</v>
      </c>
      <c r="U73" s="43" t="s">
        <v>83</v>
      </c>
      <c r="V73" s="10"/>
    </row>
    <row r="74" spans="1:22" x14ac:dyDescent="0.3">
      <c r="A74" s="1" t="s">
        <v>3</v>
      </c>
      <c r="B74" s="6" t="s">
        <v>6</v>
      </c>
      <c r="C74" s="1" t="s">
        <v>377</v>
      </c>
      <c r="D74" s="2" t="s">
        <v>8</v>
      </c>
      <c r="E74" s="35" t="s">
        <v>337</v>
      </c>
      <c r="F74" s="4" t="s">
        <v>11</v>
      </c>
      <c r="G74" s="5" t="s">
        <v>343</v>
      </c>
      <c r="H74" s="45" t="s">
        <v>378</v>
      </c>
      <c r="I74" s="1" t="s">
        <v>123</v>
      </c>
      <c r="J74" s="10" t="s">
        <v>294</v>
      </c>
      <c r="K74" s="15" t="s">
        <v>24</v>
      </c>
      <c r="L74" s="185" t="s">
        <v>29</v>
      </c>
      <c r="M74" s="16">
        <f ca="1">IF(Tabla1[[#This Row],[Estado]]="Activa",NETWORKDAYS(Tabla1[[#This Row],[Fecha Inicio Búsqueda]],TODAY()),NETWORKDAYS(Tabla1[[#This Row],[Fecha Inicio Búsqueda]],Tabla1[[#This Row],[Fecha Cubierta Búsqueda]]))</f>
        <v>55</v>
      </c>
      <c r="N74" s="34"/>
      <c r="O74" s="34" t="s">
        <v>379</v>
      </c>
      <c r="P74" s="53" t="s">
        <v>22</v>
      </c>
      <c r="Q74" s="42">
        <v>46113</v>
      </c>
      <c r="R74" s="60">
        <v>46009</v>
      </c>
      <c r="S74" s="60">
        <v>46085</v>
      </c>
      <c r="T74" s="35" t="s">
        <v>342</v>
      </c>
      <c r="U74" s="55" t="s">
        <v>83</v>
      </c>
      <c r="V74" s="10"/>
    </row>
    <row r="75" spans="1:22" x14ac:dyDescent="0.3">
      <c r="A75" s="1" t="s">
        <v>3</v>
      </c>
      <c r="B75" s="6" t="s">
        <v>6</v>
      </c>
      <c r="C75" s="1" t="s">
        <v>377</v>
      </c>
      <c r="D75" s="2" t="s">
        <v>8</v>
      </c>
      <c r="E75" s="35" t="s">
        <v>337</v>
      </c>
      <c r="F75" s="4" t="s">
        <v>11</v>
      </c>
      <c r="G75" s="5" t="s">
        <v>343</v>
      </c>
      <c r="H75" s="45" t="s">
        <v>380</v>
      </c>
      <c r="I75" s="1" t="s">
        <v>123</v>
      </c>
      <c r="J75" s="10" t="s">
        <v>381</v>
      </c>
      <c r="K75" s="15" t="s">
        <v>24</v>
      </c>
      <c r="L75" s="16" t="s">
        <v>29</v>
      </c>
      <c r="M75" s="16">
        <f ca="1">IF(Tabla1[[#This Row],[Estado]]="Activa",NETWORKDAYS(Tabla1[[#This Row],[Fecha Inicio Búsqueda]],TODAY()),NETWORKDAYS(Tabla1[[#This Row],[Fecha Inicio Búsqueda]],Tabla1[[#This Row],[Fecha Cubierta Búsqueda]]))</f>
        <v>65</v>
      </c>
      <c r="N75" s="34" t="s">
        <v>382</v>
      </c>
      <c r="O75" s="34" t="s">
        <v>383</v>
      </c>
      <c r="P75" s="34" t="s">
        <v>21</v>
      </c>
      <c r="Q75" s="42">
        <v>46113</v>
      </c>
      <c r="R75" s="60">
        <v>46009</v>
      </c>
      <c r="S75" s="54">
        <v>46099</v>
      </c>
      <c r="T75" s="35" t="s">
        <v>342</v>
      </c>
      <c r="U75" s="55" t="s">
        <v>83</v>
      </c>
      <c r="V75" s="10"/>
    </row>
    <row r="76" spans="1:22" x14ac:dyDescent="0.3">
      <c r="A76" s="1" t="s">
        <v>3</v>
      </c>
      <c r="B76" s="6" t="s">
        <v>6</v>
      </c>
      <c r="C76" s="1" t="s">
        <v>384</v>
      </c>
      <c r="D76" s="2" t="s">
        <v>10</v>
      </c>
      <c r="E76" s="35" t="s">
        <v>45</v>
      </c>
      <c r="F76" s="4" t="s">
        <v>11</v>
      </c>
      <c r="G76" s="5" t="s">
        <v>385</v>
      </c>
      <c r="H76" s="45" t="s">
        <v>386</v>
      </c>
      <c r="I76" s="5" t="s">
        <v>18</v>
      </c>
      <c r="J76" s="10" t="s">
        <v>345</v>
      </c>
      <c r="K76" s="15" t="s">
        <v>24</v>
      </c>
      <c r="L76" s="16" t="s">
        <v>29</v>
      </c>
      <c r="M76" s="16">
        <f ca="1">IF(Tabla1[[#This Row],[Estado]]="Activa",NETWORKDAYS(Tabla1[[#This Row],[Fecha Inicio Búsqueda]],TODAY()),NETWORKDAYS(Tabla1[[#This Row],[Fecha Inicio Búsqueda]],Tabla1[[#This Row],[Fecha Cubierta Búsqueda]]))</f>
        <v>52</v>
      </c>
      <c r="N76" s="34" t="s">
        <v>382</v>
      </c>
      <c r="O76" s="34" t="s">
        <v>387</v>
      </c>
      <c r="P76" s="34" t="s">
        <v>21</v>
      </c>
      <c r="Q76" s="42">
        <v>46113</v>
      </c>
      <c r="R76" s="54">
        <v>46020</v>
      </c>
      <c r="S76" s="54">
        <v>46091</v>
      </c>
      <c r="T76" s="35" t="s">
        <v>350</v>
      </c>
      <c r="U76" s="55" t="s">
        <v>83</v>
      </c>
      <c r="V76" s="10"/>
    </row>
    <row r="77" spans="1:22" x14ac:dyDescent="0.3">
      <c r="A77" s="1" t="s">
        <v>3</v>
      </c>
      <c r="B77" s="6" t="s">
        <v>6</v>
      </c>
      <c r="C77" s="1" t="s">
        <v>377</v>
      </c>
      <c r="D77" s="2" t="s">
        <v>10</v>
      </c>
      <c r="E77" s="35" t="s">
        <v>45</v>
      </c>
      <c r="F77" s="4" t="s">
        <v>11</v>
      </c>
      <c r="G77" s="5" t="s">
        <v>388</v>
      </c>
      <c r="H77" s="45" t="s">
        <v>389</v>
      </c>
      <c r="I77" s="1" t="s">
        <v>17</v>
      </c>
      <c r="J77" s="10" t="s">
        <v>390</v>
      </c>
      <c r="K77" s="15" t="s">
        <v>23</v>
      </c>
      <c r="L77" s="16" t="s">
        <v>28</v>
      </c>
      <c r="M77" s="16">
        <f ca="1">IF(Tabla1[[#This Row],[Estado]]="Activa",NETWORKDAYS(Tabla1[[#This Row],[Fecha Inicio Búsqueda]],TODAY()),NETWORKDAYS(Tabla1[[#This Row],[Fecha Inicio Búsqueda]],Tabla1[[#This Row],[Fecha Cubierta Búsqueda]]))</f>
        <v>51</v>
      </c>
      <c r="N77" s="34"/>
      <c r="O77" s="34"/>
      <c r="P77" s="34"/>
      <c r="Q77" s="42"/>
      <c r="R77" s="54">
        <v>46035</v>
      </c>
      <c r="S77" s="54"/>
      <c r="T77" s="119" t="s">
        <v>391</v>
      </c>
      <c r="U77" s="43" t="s">
        <v>83</v>
      </c>
      <c r="V77" s="10"/>
    </row>
    <row r="78" spans="1:22" x14ac:dyDescent="0.3">
      <c r="A78" s="1" t="s">
        <v>3</v>
      </c>
      <c r="B78" s="6" t="s">
        <v>6</v>
      </c>
      <c r="C78" s="1" t="s">
        <v>377</v>
      </c>
      <c r="D78" s="2" t="s">
        <v>10</v>
      </c>
      <c r="E78" s="35" t="s">
        <v>45</v>
      </c>
      <c r="F78" s="4" t="s">
        <v>11</v>
      </c>
      <c r="G78" s="5" t="s">
        <v>388</v>
      </c>
      <c r="H78" s="45" t="s">
        <v>389</v>
      </c>
      <c r="I78" s="1" t="s">
        <v>17</v>
      </c>
      <c r="J78" s="10" t="s">
        <v>392</v>
      </c>
      <c r="K78" s="15" t="s">
        <v>23</v>
      </c>
      <c r="L78" s="16" t="s">
        <v>28</v>
      </c>
      <c r="M78" s="16">
        <f ca="1">IF(Tabla1[[#This Row],[Estado]]="Activa",NETWORKDAYS(Tabla1[[#This Row],[Fecha Inicio Búsqueda]],TODAY()),NETWORKDAYS(Tabla1[[#This Row],[Fecha Inicio Búsqueda]],Tabla1[[#This Row],[Fecha Cubierta Búsqueda]]))</f>
        <v>51</v>
      </c>
      <c r="N78" s="34"/>
      <c r="O78" s="34"/>
      <c r="P78" s="34"/>
      <c r="Q78" s="42"/>
      <c r="R78" s="54">
        <v>46035</v>
      </c>
      <c r="S78" s="54"/>
      <c r="T78" s="43" t="s">
        <v>393</v>
      </c>
      <c r="U78" s="43" t="s">
        <v>83</v>
      </c>
      <c r="V78" s="10"/>
    </row>
    <row r="79" spans="1:22" x14ac:dyDescent="0.3">
      <c r="A79" s="1" t="s">
        <v>3</v>
      </c>
      <c r="B79" s="6" t="s">
        <v>6</v>
      </c>
      <c r="C79" s="1" t="s">
        <v>384</v>
      </c>
      <c r="D79" s="2" t="s">
        <v>8</v>
      </c>
      <c r="E79" s="35" t="s">
        <v>45</v>
      </c>
      <c r="F79" s="4" t="s">
        <v>11</v>
      </c>
      <c r="G79" s="5" t="s">
        <v>385</v>
      </c>
      <c r="H79" s="45" t="s">
        <v>394</v>
      </c>
      <c r="I79" s="1" t="s">
        <v>123</v>
      </c>
      <c r="J79" s="10" t="s">
        <v>294</v>
      </c>
      <c r="K79" s="15" t="s">
        <v>24</v>
      </c>
      <c r="L79" s="16" t="s">
        <v>29</v>
      </c>
      <c r="M79" s="16">
        <f ca="1">IF(Tabla1[[#This Row],[Estado]]="Activa",NETWORKDAYS(Tabla1[[#This Row],[Fecha Inicio Búsqueda]],TODAY()),NETWORKDAYS(Tabla1[[#This Row],[Fecha Inicio Búsqueda]],Tabla1[[#This Row],[Fecha Cubierta Búsqueda]]))</f>
        <v>46</v>
      </c>
      <c r="N79" s="34"/>
      <c r="O79" s="34" t="s">
        <v>395</v>
      </c>
      <c r="P79" s="34" t="s">
        <v>22</v>
      </c>
      <c r="Q79" s="42">
        <v>46113</v>
      </c>
      <c r="R79" s="54">
        <v>46038</v>
      </c>
      <c r="S79" s="54">
        <v>46101</v>
      </c>
      <c r="T79" s="43" t="s">
        <v>396</v>
      </c>
      <c r="U79" s="43" t="s">
        <v>83</v>
      </c>
      <c r="V79" s="10"/>
    </row>
    <row r="80" spans="1:22" x14ac:dyDescent="0.3">
      <c r="A80" s="1" t="s">
        <v>3</v>
      </c>
      <c r="B80" s="6" t="s">
        <v>6</v>
      </c>
      <c r="C80" s="1" t="s">
        <v>384</v>
      </c>
      <c r="D80" s="2" t="s">
        <v>8</v>
      </c>
      <c r="E80" s="35" t="s">
        <v>45</v>
      </c>
      <c r="F80" s="4" t="s">
        <v>11</v>
      </c>
      <c r="G80" s="5" t="s">
        <v>385</v>
      </c>
      <c r="H80" s="45" t="s">
        <v>397</v>
      </c>
      <c r="I80" s="1" t="s">
        <v>123</v>
      </c>
      <c r="J80" s="10" t="s">
        <v>294</v>
      </c>
      <c r="K80" s="15" t="s">
        <v>24</v>
      </c>
      <c r="L80" s="16" t="s">
        <v>29</v>
      </c>
      <c r="M80" s="16">
        <f ca="1">IF(Tabla1[[#This Row],[Estado]]="Activa",NETWORKDAYS(Tabla1[[#This Row],[Fecha Inicio Búsqueda]],TODAY()),NETWORKDAYS(Tabla1[[#This Row],[Fecha Inicio Búsqueda]],Tabla1[[#This Row],[Fecha Cubierta Búsqueda]]))</f>
        <v>40</v>
      </c>
      <c r="N80" s="34"/>
      <c r="O80" s="34" t="s">
        <v>398</v>
      </c>
      <c r="P80" s="50" t="s">
        <v>22</v>
      </c>
      <c r="Q80" s="73">
        <v>46113</v>
      </c>
      <c r="R80" s="71">
        <v>46038</v>
      </c>
      <c r="S80" s="71">
        <v>46093</v>
      </c>
      <c r="T80" s="72" t="s">
        <v>396</v>
      </c>
      <c r="U80" s="43" t="s">
        <v>83</v>
      </c>
      <c r="V80" s="10"/>
    </row>
    <row r="81" spans="1:22" x14ac:dyDescent="0.3">
      <c r="A81" s="1" t="s">
        <v>3</v>
      </c>
      <c r="B81" s="6" t="s">
        <v>6</v>
      </c>
      <c r="C81" s="1" t="s">
        <v>384</v>
      </c>
      <c r="D81" s="2" t="s">
        <v>8</v>
      </c>
      <c r="E81" s="35" t="s">
        <v>45</v>
      </c>
      <c r="F81" s="4" t="s">
        <v>12</v>
      </c>
      <c r="G81" s="5" t="s">
        <v>399</v>
      </c>
      <c r="H81" s="45" t="s">
        <v>227</v>
      </c>
      <c r="I81" s="1" t="s">
        <v>123</v>
      </c>
      <c r="J81" s="10" t="s">
        <v>334</v>
      </c>
      <c r="K81" s="15" t="s">
        <v>24</v>
      </c>
      <c r="L81" s="16" t="s">
        <v>29</v>
      </c>
      <c r="M81" s="16">
        <f ca="1">IF(Tabla1[[#This Row],[Estado]]="Activa",NETWORKDAYS(Tabla1[[#This Row],[Fecha Inicio Búsqueda]],TODAY()),NETWORKDAYS(Tabla1[[#This Row],[Fecha Inicio Búsqueda]],Tabla1[[#This Row],[Fecha Cubierta Búsqueda]]))</f>
        <v>43</v>
      </c>
      <c r="N81" s="34"/>
      <c r="O81" s="49" t="s">
        <v>400</v>
      </c>
      <c r="P81" s="20" t="s">
        <v>22</v>
      </c>
      <c r="Q81" s="137">
        <v>46113</v>
      </c>
      <c r="R81" s="137">
        <v>46044</v>
      </c>
      <c r="S81" s="137">
        <v>46104</v>
      </c>
      <c r="T81" s="10" t="s">
        <v>401</v>
      </c>
      <c r="U81" s="55" t="s">
        <v>276</v>
      </c>
      <c r="V81" s="10"/>
    </row>
    <row r="82" spans="1:22" x14ac:dyDescent="0.3">
      <c r="A82" s="1" t="s">
        <v>3</v>
      </c>
      <c r="B82" s="6" t="s">
        <v>6</v>
      </c>
      <c r="C82" s="1" t="s">
        <v>384</v>
      </c>
      <c r="D82" s="2" t="s">
        <v>8</v>
      </c>
      <c r="E82" s="35" t="s">
        <v>45</v>
      </c>
      <c r="F82" s="4" t="s">
        <v>12</v>
      </c>
      <c r="G82" s="5" t="s">
        <v>399</v>
      </c>
      <c r="H82" s="45" t="s">
        <v>227</v>
      </c>
      <c r="I82" s="1" t="s">
        <v>123</v>
      </c>
      <c r="J82" s="10" t="s">
        <v>334</v>
      </c>
      <c r="K82" s="15" t="s">
        <v>23</v>
      </c>
      <c r="L82" s="16" t="s">
        <v>28</v>
      </c>
      <c r="M82" s="16">
        <f ca="1">IF(Tabla1[[#This Row],[Estado]]="Activa",NETWORKDAYS(Tabla1[[#This Row],[Fecha Inicio Búsqueda]],TODAY()),NETWORKDAYS(Tabla1[[#This Row],[Fecha Inicio Búsqueda]],Tabla1[[#This Row],[Fecha Cubierta Búsqueda]]))</f>
        <v>44</v>
      </c>
      <c r="N82" s="34"/>
      <c r="O82" s="49"/>
      <c r="P82" s="20"/>
      <c r="Q82" s="137"/>
      <c r="R82" s="137">
        <v>46044</v>
      </c>
      <c r="S82" s="137"/>
      <c r="T82" s="10" t="s">
        <v>401</v>
      </c>
      <c r="U82" s="55" t="s">
        <v>276</v>
      </c>
      <c r="V82" s="10"/>
    </row>
    <row r="83" spans="1:22" x14ac:dyDescent="0.3">
      <c r="A83" s="1" t="s">
        <v>3</v>
      </c>
      <c r="B83" s="6" t="s">
        <v>6</v>
      </c>
      <c r="C83" s="1" t="s">
        <v>351</v>
      </c>
      <c r="D83" s="2" t="s">
        <v>8</v>
      </c>
      <c r="E83" s="35" t="s">
        <v>402</v>
      </c>
      <c r="F83" s="4" t="s">
        <v>11</v>
      </c>
      <c r="G83" s="5" t="s">
        <v>403</v>
      </c>
      <c r="H83" s="45" t="s">
        <v>404</v>
      </c>
      <c r="I83" s="1" t="s">
        <v>123</v>
      </c>
      <c r="J83" s="10" t="s">
        <v>405</v>
      </c>
      <c r="K83" s="15" t="s">
        <v>24</v>
      </c>
      <c r="L83" s="16" t="s">
        <v>29</v>
      </c>
      <c r="M83" s="16">
        <f ca="1">IF(Tabla1[[#This Row],[Estado]]="Activa",NETWORKDAYS(Tabla1[[#This Row],[Fecha Inicio Búsqueda]],TODAY()),NETWORKDAYS(Tabla1[[#This Row],[Fecha Inicio Búsqueda]],Tabla1[[#This Row],[Fecha Cubierta Búsqueda]]))</f>
        <v>28</v>
      </c>
      <c r="N83" s="34"/>
      <c r="O83" s="49" t="s">
        <v>406</v>
      </c>
      <c r="P83" s="20" t="s">
        <v>22</v>
      </c>
      <c r="Q83" s="137">
        <v>46097</v>
      </c>
      <c r="R83" s="137">
        <v>46051</v>
      </c>
      <c r="S83" s="137">
        <v>46090</v>
      </c>
      <c r="T83" s="10" t="s">
        <v>407</v>
      </c>
      <c r="U83" s="55" t="s">
        <v>83</v>
      </c>
      <c r="V83" s="10"/>
    </row>
    <row r="84" spans="1:22" x14ac:dyDescent="0.3">
      <c r="A84" s="1" t="s">
        <v>3</v>
      </c>
      <c r="B84" s="6" t="s">
        <v>6</v>
      </c>
      <c r="C84" s="1" t="s">
        <v>355</v>
      </c>
      <c r="D84" s="2" t="s">
        <v>8</v>
      </c>
      <c r="E84" s="35" t="s">
        <v>402</v>
      </c>
      <c r="F84" s="4" t="s">
        <v>11</v>
      </c>
      <c r="G84" s="5" t="s">
        <v>408</v>
      </c>
      <c r="H84" s="45" t="s">
        <v>409</v>
      </c>
      <c r="I84" s="1" t="s">
        <v>123</v>
      </c>
      <c r="J84" s="10" t="s">
        <v>410</v>
      </c>
      <c r="K84" s="15" t="s">
        <v>23</v>
      </c>
      <c r="L84" s="16" t="s">
        <v>28</v>
      </c>
      <c r="M84" s="16">
        <f ca="1">IF(Tabla1[[#This Row],[Estado]]="Activa",NETWORKDAYS(Tabla1[[#This Row],[Fecha Inicio Búsqueda]],TODAY()),NETWORKDAYS(Tabla1[[#This Row],[Fecha Inicio Búsqueda]],Tabla1[[#This Row],[Fecha Cubierta Búsqueda]]))</f>
        <v>33</v>
      </c>
      <c r="N84" s="34"/>
      <c r="O84" s="49"/>
      <c r="P84" s="20"/>
      <c r="Q84" s="137"/>
      <c r="R84" s="137">
        <v>46059</v>
      </c>
      <c r="S84" s="137"/>
      <c r="T84" s="10" t="s">
        <v>376</v>
      </c>
      <c r="U84" s="55" t="s">
        <v>83</v>
      </c>
      <c r="V84" s="10"/>
    </row>
    <row r="85" spans="1:22" x14ac:dyDescent="0.3">
      <c r="A85" s="1" t="s">
        <v>3</v>
      </c>
      <c r="B85" s="6" t="s">
        <v>6</v>
      </c>
      <c r="C85" s="1" t="s">
        <v>411</v>
      </c>
      <c r="D85" s="2" t="s">
        <v>10</v>
      </c>
      <c r="E85" s="35" t="s">
        <v>45</v>
      </c>
      <c r="F85" s="4" t="s">
        <v>11</v>
      </c>
      <c r="G85" s="5" t="s">
        <v>345</v>
      </c>
      <c r="H85" s="45" t="s">
        <v>366</v>
      </c>
      <c r="I85" s="1" t="s">
        <v>123</v>
      </c>
      <c r="J85" s="10" t="s">
        <v>412</v>
      </c>
      <c r="K85" s="15" t="s">
        <v>24</v>
      </c>
      <c r="L85" s="16" t="s">
        <v>29</v>
      </c>
      <c r="M85" s="16">
        <f ca="1">IF(Tabla1[[#This Row],[Estado]]="Activa",NETWORKDAYS(Tabla1[[#This Row],[Fecha Inicio Búsqueda]],TODAY()),NETWORKDAYS(Tabla1[[#This Row],[Fecha Inicio Búsqueda]],Tabla1[[#This Row],[Fecha Cubierta Búsqueda]]))</f>
        <v>31</v>
      </c>
      <c r="N85" s="34" t="s">
        <v>413</v>
      </c>
      <c r="O85" s="49" t="s">
        <v>414</v>
      </c>
      <c r="P85" s="20" t="s">
        <v>20</v>
      </c>
      <c r="Q85" s="137">
        <v>46082</v>
      </c>
      <c r="R85" s="137">
        <v>46021</v>
      </c>
      <c r="S85" s="137">
        <v>46063</v>
      </c>
      <c r="T85" s="10" t="s">
        <v>350</v>
      </c>
      <c r="U85" s="55" t="s">
        <v>83</v>
      </c>
      <c r="V85" s="10"/>
    </row>
    <row r="86" spans="1:22" x14ac:dyDescent="0.3">
      <c r="A86" s="81" t="s">
        <v>0</v>
      </c>
      <c r="B86" s="114" t="s">
        <v>6</v>
      </c>
      <c r="C86" s="81" t="s">
        <v>328</v>
      </c>
      <c r="D86" s="115" t="s">
        <v>9</v>
      </c>
      <c r="E86" s="44" t="s">
        <v>114</v>
      </c>
      <c r="F86" s="4" t="s">
        <v>11</v>
      </c>
      <c r="G86" s="116" t="s">
        <v>323</v>
      </c>
      <c r="H86" s="45" t="s">
        <v>415</v>
      </c>
      <c r="I86" s="117" t="s">
        <v>18</v>
      </c>
      <c r="J86" s="44" t="s">
        <v>416</v>
      </c>
      <c r="K86" s="17" t="s">
        <v>24</v>
      </c>
      <c r="L86" s="185"/>
      <c r="M86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86" s="34"/>
      <c r="O86" s="49" t="s">
        <v>417</v>
      </c>
      <c r="P86" s="118" t="s">
        <v>22</v>
      </c>
      <c r="Q86" s="66">
        <v>46069</v>
      </c>
      <c r="R86" s="151">
        <v>46055</v>
      </c>
      <c r="S86" s="151">
        <v>46057</v>
      </c>
      <c r="T86" s="10"/>
      <c r="U86" s="55" t="s">
        <v>418</v>
      </c>
      <c r="V86" s="10"/>
    </row>
    <row r="87" spans="1:22" x14ac:dyDescent="0.3">
      <c r="A87" s="1" t="s">
        <v>4</v>
      </c>
      <c r="B87" s="6" t="s">
        <v>7</v>
      </c>
      <c r="C87" s="1" t="s">
        <v>419</v>
      </c>
      <c r="D87" s="2" t="s">
        <v>8</v>
      </c>
      <c r="E87" s="34" t="s">
        <v>420</v>
      </c>
      <c r="F87" s="4" t="s">
        <v>11</v>
      </c>
      <c r="G87" s="21" t="s">
        <v>421</v>
      </c>
      <c r="H87" s="45" t="s">
        <v>422</v>
      </c>
      <c r="I87" s="6" t="s">
        <v>16</v>
      </c>
      <c r="J87" s="10" t="s">
        <v>423</v>
      </c>
      <c r="K87" s="17" t="s">
        <v>24</v>
      </c>
      <c r="L87" s="185"/>
      <c r="M87" s="16">
        <f ca="1">IF(Tabla1[[#This Row],[Estado]]="Activa",NETWORKDAYS(Tabla1[[#This Row],[Fecha Inicio Búsqueda]],TODAY()),NETWORKDAYS(Tabla1[[#This Row],[Fecha Inicio Búsqueda]],Tabla1[[#This Row],[Fecha Cubierta Búsqueda]]))</f>
        <v>21</v>
      </c>
      <c r="N87" s="50" t="s">
        <v>424</v>
      </c>
      <c r="O87" s="49" t="s">
        <v>425</v>
      </c>
      <c r="P87" s="20" t="s">
        <v>20</v>
      </c>
      <c r="Q87" s="137">
        <v>46083</v>
      </c>
      <c r="R87" s="137">
        <v>46027</v>
      </c>
      <c r="S87" s="137">
        <v>46055</v>
      </c>
      <c r="T87" s="10" t="s">
        <v>426</v>
      </c>
      <c r="U87" s="149" t="s">
        <v>427</v>
      </c>
      <c r="V87" s="10"/>
    </row>
    <row r="88" spans="1:22" ht="29.25" x14ac:dyDescent="0.3">
      <c r="A88" s="1" t="s">
        <v>4</v>
      </c>
      <c r="B88" s="6" t="s">
        <v>7</v>
      </c>
      <c r="C88" s="8" t="s">
        <v>419</v>
      </c>
      <c r="D88" s="39" t="s">
        <v>8</v>
      </c>
      <c r="E88" s="74" t="s">
        <v>428</v>
      </c>
      <c r="F88" s="86" t="s">
        <v>11</v>
      </c>
      <c r="G88" s="87" t="s">
        <v>4</v>
      </c>
      <c r="H88" s="45" t="s">
        <v>429</v>
      </c>
      <c r="I88" s="18" t="s">
        <v>16</v>
      </c>
      <c r="J88" s="27" t="s">
        <v>430</v>
      </c>
      <c r="K88" s="29" t="s">
        <v>24</v>
      </c>
      <c r="L88" s="185"/>
      <c r="M88" s="16">
        <f ca="1">IF(Tabla1[[#This Row],[Estado]]="Activa",NETWORKDAYS(Tabla1[[#This Row],[Fecha Inicio Búsqueda]],TODAY()),NETWORKDAYS(Tabla1[[#This Row],[Fecha Inicio Búsqueda]],Tabla1[[#This Row],[Fecha Cubierta Búsqueda]]))</f>
        <v>15</v>
      </c>
      <c r="N88" s="50" t="s">
        <v>424</v>
      </c>
      <c r="O88" s="109" t="s">
        <v>431</v>
      </c>
      <c r="P88" s="20" t="s">
        <v>22</v>
      </c>
      <c r="Q88" s="137">
        <v>46055</v>
      </c>
      <c r="R88" s="137">
        <v>46027</v>
      </c>
      <c r="S88" s="137">
        <v>46045</v>
      </c>
      <c r="T88" s="10" t="s">
        <v>432</v>
      </c>
      <c r="U88" s="149" t="s">
        <v>427</v>
      </c>
      <c r="V88" s="10"/>
    </row>
    <row r="89" spans="1:22" x14ac:dyDescent="0.3">
      <c r="A89" s="1" t="s">
        <v>0</v>
      </c>
      <c r="B89" s="57" t="s">
        <v>5</v>
      </c>
      <c r="C89" s="1" t="s">
        <v>322</v>
      </c>
      <c r="D89" s="1" t="s">
        <v>9</v>
      </c>
      <c r="E89" s="35" t="s">
        <v>433</v>
      </c>
      <c r="F89" s="81" t="s">
        <v>12</v>
      </c>
      <c r="G89" s="1" t="s">
        <v>323</v>
      </c>
      <c r="H89" s="45" t="s">
        <v>434</v>
      </c>
      <c r="I89" s="1" t="s">
        <v>18</v>
      </c>
      <c r="J89" s="35" t="s">
        <v>94</v>
      </c>
      <c r="K89" s="15" t="s">
        <v>24</v>
      </c>
      <c r="L89" s="16"/>
      <c r="M89" s="16">
        <f ca="1">IF(Tabla1[[#This Row],[Estado]]="Activa",NETWORKDAYS(Tabla1[[#This Row],[Fecha Inicio Búsqueda]],TODAY()),NETWORKDAYS(Tabla1[[#This Row],[Fecha Inicio Búsqueda]],Tabla1[[#This Row],[Fecha Cubierta Búsqueda]]))</f>
        <v>39</v>
      </c>
      <c r="N89" s="34"/>
      <c r="O89" s="49" t="s">
        <v>435</v>
      </c>
      <c r="P89" s="20" t="s">
        <v>21</v>
      </c>
      <c r="Q89" s="137">
        <v>46054</v>
      </c>
      <c r="R89" s="151">
        <v>46000</v>
      </c>
      <c r="S89" s="151">
        <v>46052</v>
      </c>
      <c r="T89" s="10"/>
      <c r="U89" s="150"/>
      <c r="V89" s="105"/>
    </row>
    <row r="90" spans="1:22" x14ac:dyDescent="0.3">
      <c r="A90" s="1" t="s">
        <v>0</v>
      </c>
      <c r="B90" s="57" t="s">
        <v>5</v>
      </c>
      <c r="C90" s="1" t="s">
        <v>178</v>
      </c>
      <c r="D90" s="1" t="s">
        <v>8</v>
      </c>
      <c r="E90" s="35" t="s">
        <v>436</v>
      </c>
      <c r="F90" s="81" t="s">
        <v>11</v>
      </c>
      <c r="G90" s="1" t="s">
        <v>437</v>
      </c>
      <c r="H90" s="45" t="s">
        <v>438</v>
      </c>
      <c r="I90" s="1" t="s">
        <v>17</v>
      </c>
      <c r="J90" s="35"/>
      <c r="K90" s="15" t="s">
        <v>24</v>
      </c>
      <c r="L90" s="16"/>
      <c r="M90" s="16">
        <f ca="1">IF(Tabla1[[#This Row],[Estado]]="Activa",NETWORKDAYS(Tabla1[[#This Row],[Fecha Inicio Búsqueda]],TODAY()),NETWORKDAYS(Tabla1[[#This Row],[Fecha Inicio Búsqueda]],Tabla1[[#This Row],[Fecha Cubierta Búsqueda]]))</f>
        <v>15</v>
      </c>
      <c r="N90" s="34"/>
      <c r="O90" s="48" t="s">
        <v>439</v>
      </c>
      <c r="P90" s="3" t="s">
        <v>22</v>
      </c>
      <c r="Q90" s="66">
        <v>46041</v>
      </c>
      <c r="R90" s="151">
        <v>46007</v>
      </c>
      <c r="S90" s="151">
        <v>46027</v>
      </c>
      <c r="T90" s="10"/>
      <c r="U90" s="150"/>
      <c r="V90" s="105"/>
    </row>
    <row r="91" spans="1:22" x14ac:dyDescent="0.3">
      <c r="A91" s="7" t="s">
        <v>0</v>
      </c>
      <c r="B91" s="104" t="s">
        <v>5</v>
      </c>
      <c r="C91" s="1" t="s">
        <v>440</v>
      </c>
      <c r="D91" s="1" t="s">
        <v>8</v>
      </c>
      <c r="E91" s="35" t="s">
        <v>441</v>
      </c>
      <c r="F91" s="81" t="s">
        <v>11</v>
      </c>
      <c r="G91" s="1" t="s">
        <v>442</v>
      </c>
      <c r="H91" s="45" t="s">
        <v>443</v>
      </c>
      <c r="I91" s="1" t="s">
        <v>16</v>
      </c>
      <c r="J91" s="35" t="s">
        <v>444</v>
      </c>
      <c r="K91" s="15" t="s">
        <v>24</v>
      </c>
      <c r="L91" s="16"/>
      <c r="M91" s="16">
        <f ca="1">IF(Tabla1[[#This Row],[Estado]]="Activa",NETWORKDAYS(Tabla1[[#This Row],[Fecha Inicio Búsqueda]],TODAY()),NETWORKDAYS(Tabla1[[#This Row],[Fecha Inicio Búsqueda]],Tabla1[[#This Row],[Fecha Cubierta Búsqueda]]))</f>
        <v>19</v>
      </c>
      <c r="N91" s="34"/>
      <c r="O91" s="48" t="s">
        <v>445</v>
      </c>
      <c r="P91" s="3" t="s">
        <v>22</v>
      </c>
      <c r="Q91" s="137">
        <v>46054</v>
      </c>
      <c r="R91" s="151">
        <v>46009</v>
      </c>
      <c r="S91" s="151">
        <v>46035</v>
      </c>
      <c r="T91" s="10"/>
      <c r="U91" s="150"/>
      <c r="V91" s="106"/>
    </row>
    <row r="92" spans="1:22" x14ac:dyDescent="0.3">
      <c r="A92" s="81" t="s">
        <v>0</v>
      </c>
      <c r="B92" s="81" t="s">
        <v>6</v>
      </c>
      <c r="C92" s="110" t="s">
        <v>328</v>
      </c>
      <c r="D92" s="115" t="s">
        <v>9</v>
      </c>
      <c r="E92" s="44" t="s">
        <v>114</v>
      </c>
      <c r="F92" s="110" t="s">
        <v>12</v>
      </c>
      <c r="G92" s="110" t="s">
        <v>323</v>
      </c>
      <c r="H92" s="45" t="s">
        <v>446</v>
      </c>
      <c r="I92" s="110" t="s">
        <v>18</v>
      </c>
      <c r="J92" s="44" t="s">
        <v>447</v>
      </c>
      <c r="K92" s="97" t="s">
        <v>24</v>
      </c>
      <c r="L92" s="186"/>
      <c r="M92" s="16">
        <f ca="1">IF(Tabla1[[#This Row],[Estado]]="Activa",NETWORKDAYS(Tabla1[[#This Row],[Fecha Inicio Búsqueda]],TODAY()),NETWORKDAYS(Tabla1[[#This Row],[Fecha Inicio Búsqueda]],Tabla1[[#This Row],[Fecha Cubierta Búsqueda]]))</f>
        <v>38</v>
      </c>
      <c r="N92" s="53"/>
      <c r="O92" s="130" t="s">
        <v>448</v>
      </c>
      <c r="P92" s="118" t="s">
        <v>22</v>
      </c>
      <c r="Q92" s="66">
        <v>46083</v>
      </c>
      <c r="R92" s="151">
        <v>46008</v>
      </c>
      <c r="S92" s="151">
        <v>46059</v>
      </c>
      <c r="T92" s="10"/>
      <c r="U92" s="78" t="s">
        <v>418</v>
      </c>
      <c r="V92" s="35"/>
    </row>
    <row r="93" spans="1:22" x14ac:dyDescent="0.3">
      <c r="A93" s="35" t="s">
        <v>4</v>
      </c>
      <c r="B93" s="35" t="s">
        <v>7</v>
      </c>
      <c r="C93" s="35" t="s">
        <v>449</v>
      </c>
      <c r="D93" s="35" t="s">
        <v>8</v>
      </c>
      <c r="E93" s="35" t="s">
        <v>450</v>
      </c>
      <c r="F93" s="35" t="s">
        <v>11</v>
      </c>
      <c r="G93" s="35" t="s">
        <v>323</v>
      </c>
      <c r="H93" s="45" t="s">
        <v>451</v>
      </c>
      <c r="I93" s="35" t="s">
        <v>16</v>
      </c>
      <c r="J93" s="35" t="s">
        <v>452</v>
      </c>
      <c r="K93" s="133" t="s">
        <v>24</v>
      </c>
      <c r="L93" s="127"/>
      <c r="M93" s="16">
        <f ca="1">IF(Tabla1[[#This Row],[Estado]]="Activa",NETWORKDAYS(Tabla1[[#This Row],[Fecha Inicio Búsqueda]],TODAY()),NETWORKDAYS(Tabla1[[#This Row],[Fecha Inicio Búsqueda]],Tabla1[[#This Row],[Fecha Cubierta Búsqueda]]))</f>
        <v>33</v>
      </c>
      <c r="N93" s="50" t="s">
        <v>424</v>
      </c>
      <c r="O93" s="49" t="s">
        <v>453</v>
      </c>
      <c r="P93" s="152" t="s">
        <v>22</v>
      </c>
      <c r="Q93" s="66">
        <v>46078</v>
      </c>
      <c r="R93" s="66">
        <v>46028</v>
      </c>
      <c r="S93" s="66">
        <v>46072</v>
      </c>
      <c r="T93" s="10" t="s">
        <v>454</v>
      </c>
      <c r="U93" s="149" t="s">
        <v>427</v>
      </c>
      <c r="V93" s="82"/>
    </row>
    <row r="94" spans="1:22" x14ac:dyDescent="0.3">
      <c r="A94" s="35" t="s">
        <v>4</v>
      </c>
      <c r="B94" s="35" t="s">
        <v>7</v>
      </c>
      <c r="C94" s="35" t="s">
        <v>455</v>
      </c>
      <c r="D94" s="139" t="s">
        <v>8</v>
      </c>
      <c r="E94" s="139" t="s">
        <v>456</v>
      </c>
      <c r="F94" s="35" t="s">
        <v>11</v>
      </c>
      <c r="G94" s="139" t="s">
        <v>457</v>
      </c>
      <c r="H94" s="45" t="s">
        <v>458</v>
      </c>
      <c r="I94" s="139" t="s">
        <v>13</v>
      </c>
      <c r="J94" s="139" t="s">
        <v>459</v>
      </c>
      <c r="K94" s="139" t="s">
        <v>24</v>
      </c>
      <c r="L94" s="168"/>
      <c r="M94" s="16">
        <f ca="1">IF(Tabla1[[#This Row],[Estado]]="Activa",NETWORKDAYS(Tabla1[[#This Row],[Fecha Inicio Búsqueda]],TODAY()),NETWORKDAYS(Tabla1[[#This Row],[Fecha Inicio Búsqueda]],Tabla1[[#This Row],[Fecha Cubierta Búsqueda]]))</f>
        <v>13</v>
      </c>
      <c r="N94" s="50" t="s">
        <v>424</v>
      </c>
      <c r="O94" s="148" t="s">
        <v>460</v>
      </c>
      <c r="P94" s="152" t="s">
        <v>22</v>
      </c>
      <c r="Q94" s="153">
        <v>46069</v>
      </c>
      <c r="R94" s="153">
        <v>46037</v>
      </c>
      <c r="S94" s="153">
        <v>46055</v>
      </c>
      <c r="T94" s="154" t="s">
        <v>461</v>
      </c>
      <c r="U94" s="149" t="s">
        <v>427</v>
      </c>
      <c r="V94" s="139"/>
    </row>
    <row r="95" spans="1:22" ht="29.25" x14ac:dyDescent="0.3">
      <c r="A95" s="35" t="s">
        <v>4</v>
      </c>
      <c r="B95" s="35" t="s">
        <v>7</v>
      </c>
      <c r="C95" s="8" t="s">
        <v>419</v>
      </c>
      <c r="D95" s="139" t="s">
        <v>8</v>
      </c>
      <c r="E95" s="139" t="s">
        <v>462</v>
      </c>
      <c r="F95" s="35" t="s">
        <v>11</v>
      </c>
      <c r="G95" s="139" t="s">
        <v>463</v>
      </c>
      <c r="H95" s="45" t="s">
        <v>464</v>
      </c>
      <c r="I95" s="35" t="s">
        <v>16</v>
      </c>
      <c r="J95" s="139" t="s">
        <v>425</v>
      </c>
      <c r="K95" s="133" t="s">
        <v>24</v>
      </c>
      <c r="L95" s="127"/>
      <c r="M95" s="16">
        <f ca="1">IF(Tabla1[[#This Row],[Estado]]="Activa",NETWORKDAYS(Tabla1[[#This Row],[Fecha Inicio Búsqueda]],TODAY()),NETWORKDAYS(Tabla1[[#This Row],[Fecha Inicio Búsqueda]],Tabla1[[#This Row],[Fecha Cubierta Búsqueda]]))</f>
        <v>27</v>
      </c>
      <c r="N95" s="49" t="s">
        <v>465</v>
      </c>
      <c r="O95" s="140" t="s">
        <v>466</v>
      </c>
      <c r="P95" s="152" t="s">
        <v>22</v>
      </c>
      <c r="Q95" s="142">
        <v>46097</v>
      </c>
      <c r="R95" s="142">
        <v>46056</v>
      </c>
      <c r="S95" s="142">
        <v>46092</v>
      </c>
      <c r="T95" s="143" t="s">
        <v>467</v>
      </c>
      <c r="U95" s="139" t="s">
        <v>427</v>
      </c>
      <c r="V95" s="139"/>
    </row>
    <row r="96" spans="1:22" s="32" customFormat="1" x14ac:dyDescent="0.3">
      <c r="A96" s="35" t="s">
        <v>4</v>
      </c>
      <c r="B96" s="35" t="s">
        <v>7</v>
      </c>
      <c r="C96" s="35" t="s">
        <v>449</v>
      </c>
      <c r="D96" s="139" t="s">
        <v>8</v>
      </c>
      <c r="E96" s="74" t="s">
        <v>468</v>
      </c>
      <c r="F96" s="35" t="s">
        <v>11</v>
      </c>
      <c r="G96" s="139" t="s">
        <v>469</v>
      </c>
      <c r="H96" s="45" t="s">
        <v>470</v>
      </c>
      <c r="I96" s="35" t="s">
        <v>13</v>
      </c>
      <c r="J96" s="139" t="s">
        <v>471</v>
      </c>
      <c r="K96" s="139" t="s">
        <v>24</v>
      </c>
      <c r="L96" s="168"/>
      <c r="M96" s="16">
        <f ca="1">IF(Tabla1[[#This Row],[Estado]]="Activa",NETWORKDAYS(Tabla1[[#This Row],[Fecha Inicio Búsqueda]],TODAY()),NETWORKDAYS(Tabla1[[#This Row],[Fecha Inicio Búsqueda]],Tabla1[[#This Row],[Fecha Cubierta Búsqueda]]))</f>
        <v>18</v>
      </c>
      <c r="N96" s="50" t="s">
        <v>424</v>
      </c>
      <c r="O96" s="140" t="s">
        <v>472</v>
      </c>
      <c r="P96" s="141" t="s">
        <v>22</v>
      </c>
      <c r="Q96" s="144">
        <v>46055</v>
      </c>
      <c r="R96" s="142">
        <v>46024</v>
      </c>
      <c r="S96" s="144">
        <v>46049</v>
      </c>
      <c r="T96" s="139" t="s">
        <v>473</v>
      </c>
      <c r="U96" s="139" t="s">
        <v>427</v>
      </c>
      <c r="V96" s="139"/>
    </row>
    <row r="97" spans="1:22" s="32" customFormat="1" x14ac:dyDescent="0.3">
      <c r="A97" s="35" t="s">
        <v>1</v>
      </c>
      <c r="B97" s="57" t="s">
        <v>5</v>
      </c>
      <c r="C97" s="35" t="s">
        <v>185</v>
      </c>
      <c r="D97" s="139" t="s">
        <v>8</v>
      </c>
      <c r="E97" s="35" t="s">
        <v>45</v>
      </c>
      <c r="F97" s="35" t="s">
        <v>11</v>
      </c>
      <c r="G97" s="139" t="s">
        <v>190</v>
      </c>
      <c r="H97" s="45" t="s">
        <v>474</v>
      </c>
      <c r="I97" s="35" t="s">
        <v>16</v>
      </c>
      <c r="J97" s="139" t="s">
        <v>475</v>
      </c>
      <c r="K97" s="133" t="s">
        <v>24</v>
      </c>
      <c r="L97" s="185" t="s">
        <v>29</v>
      </c>
      <c r="M97" s="16">
        <f ca="1">IF(Tabla1[[#This Row],[Estado]]="Activa",NETWORKDAYS(Tabla1[[#This Row],[Fecha Inicio Búsqueda]],TODAY()),NETWORKDAYS(Tabla1[[#This Row],[Fecha Inicio Búsqueda]],Tabla1[[#This Row],[Fecha Cubierta Búsqueda]]))</f>
        <v>25</v>
      </c>
      <c r="N97" s="140" t="s">
        <v>476</v>
      </c>
      <c r="O97" s="140" t="s">
        <v>477</v>
      </c>
      <c r="P97" s="141" t="s">
        <v>22</v>
      </c>
      <c r="Q97" s="144">
        <v>46118</v>
      </c>
      <c r="R97" s="144">
        <v>46069</v>
      </c>
      <c r="S97" s="180">
        <v>46101</v>
      </c>
      <c r="T97" s="57" t="s">
        <v>193</v>
      </c>
      <c r="U97" s="139"/>
      <c r="V97" s="155">
        <v>1300000</v>
      </c>
    </row>
    <row r="98" spans="1:22" s="32" customFormat="1" x14ac:dyDescent="0.3">
      <c r="A98" s="35" t="s">
        <v>1</v>
      </c>
      <c r="B98" s="57" t="s">
        <v>5</v>
      </c>
      <c r="C98" s="35" t="s">
        <v>185</v>
      </c>
      <c r="D98" s="139" t="s">
        <v>8</v>
      </c>
      <c r="E98" s="35" t="s">
        <v>45</v>
      </c>
      <c r="F98" s="35" t="s">
        <v>11</v>
      </c>
      <c r="G98" s="139" t="s">
        <v>190</v>
      </c>
      <c r="H98" s="113" t="s">
        <v>128</v>
      </c>
      <c r="I98" s="139" t="s">
        <v>15</v>
      </c>
      <c r="J98" s="139" t="s">
        <v>478</v>
      </c>
      <c r="K98" s="133" t="s">
        <v>23</v>
      </c>
      <c r="L98" s="185" t="s">
        <v>28</v>
      </c>
      <c r="M98" s="16">
        <f ca="1">IF(Tabla1[[#This Row],[Estado]]="Activa",NETWORKDAYS(Tabla1[[#This Row],[Fecha Inicio Búsqueda]],TODAY()),NETWORKDAYS(Tabla1[[#This Row],[Fecha Inicio Búsqueda]],Tabla1[[#This Row],[Fecha Cubierta Búsqueda]]))</f>
        <v>27</v>
      </c>
      <c r="N98" s="140"/>
      <c r="O98" s="140"/>
      <c r="P98" s="141" t="s">
        <v>22</v>
      </c>
      <c r="Q98" s="144"/>
      <c r="R98" s="144">
        <v>46069</v>
      </c>
      <c r="S98" s="144"/>
      <c r="T98" s="57" t="s">
        <v>193</v>
      </c>
      <c r="U98" s="139"/>
      <c r="V98" s="155">
        <v>800000</v>
      </c>
    </row>
    <row r="99" spans="1:22" s="32" customFormat="1" x14ac:dyDescent="0.3">
      <c r="A99" s="35" t="s">
        <v>1</v>
      </c>
      <c r="B99" s="57" t="s">
        <v>5</v>
      </c>
      <c r="C99" s="35" t="s">
        <v>185</v>
      </c>
      <c r="D99" s="139" t="s">
        <v>8</v>
      </c>
      <c r="E99" s="35" t="s">
        <v>45</v>
      </c>
      <c r="F99" s="35" t="s">
        <v>11</v>
      </c>
      <c r="G99" s="139" t="s">
        <v>479</v>
      </c>
      <c r="H99" s="113" t="s">
        <v>128</v>
      </c>
      <c r="I99" s="139" t="s">
        <v>15</v>
      </c>
      <c r="J99" s="139" t="s">
        <v>480</v>
      </c>
      <c r="K99" s="133" t="s">
        <v>23</v>
      </c>
      <c r="L99" s="185" t="s">
        <v>28</v>
      </c>
      <c r="M99" s="16">
        <f ca="1">IF(Tabla1[[#This Row],[Estado]]="Activa",NETWORKDAYS(Tabla1[[#This Row],[Fecha Inicio Búsqueda]],TODAY()),NETWORKDAYS(Tabla1[[#This Row],[Fecha Inicio Búsqueda]],Tabla1[[#This Row],[Fecha Cubierta Búsqueda]]))</f>
        <v>27</v>
      </c>
      <c r="N99" s="140"/>
      <c r="O99" s="140"/>
      <c r="P99" s="141" t="s">
        <v>22</v>
      </c>
      <c r="Q99" s="144"/>
      <c r="R99" s="144">
        <v>46069</v>
      </c>
      <c r="S99" s="144"/>
      <c r="T99" s="57" t="s">
        <v>169</v>
      </c>
      <c r="U99" s="139"/>
      <c r="V99" s="155">
        <v>800000</v>
      </c>
    </row>
    <row r="100" spans="1:22" s="32" customFormat="1" x14ac:dyDescent="0.3">
      <c r="A100" s="35" t="s">
        <v>1</v>
      </c>
      <c r="B100" s="57" t="s">
        <v>5</v>
      </c>
      <c r="C100" s="35" t="s">
        <v>185</v>
      </c>
      <c r="D100" s="139" t="s">
        <v>8</v>
      </c>
      <c r="E100" s="35" t="s">
        <v>45</v>
      </c>
      <c r="F100" s="35" t="s">
        <v>11</v>
      </c>
      <c r="G100" s="139" t="s">
        <v>141</v>
      </c>
      <c r="H100" s="113" t="s">
        <v>128</v>
      </c>
      <c r="I100" s="139" t="s">
        <v>15</v>
      </c>
      <c r="J100" s="139" t="s">
        <v>481</v>
      </c>
      <c r="K100" s="133" t="s">
        <v>23</v>
      </c>
      <c r="L100" s="185" t="s">
        <v>28</v>
      </c>
      <c r="M100" s="16">
        <f ca="1">IF(Tabla1[[#This Row],[Estado]]="Activa",NETWORKDAYS(Tabla1[[#This Row],[Fecha Inicio Búsqueda]],TODAY()),NETWORKDAYS(Tabla1[[#This Row],[Fecha Inicio Búsqueda]],Tabla1[[#This Row],[Fecha Cubierta Búsqueda]]))</f>
        <v>27</v>
      </c>
      <c r="N100" s="84"/>
      <c r="O100" s="84"/>
      <c r="P100" s="141" t="s">
        <v>22</v>
      </c>
      <c r="Q100" s="85"/>
      <c r="R100" s="144">
        <v>46069</v>
      </c>
      <c r="S100" s="144"/>
      <c r="T100" s="57" t="s">
        <v>142</v>
      </c>
      <c r="U100" s="82"/>
      <c r="V100" s="155">
        <v>800000</v>
      </c>
    </row>
    <row r="101" spans="1:22" s="32" customFormat="1" x14ac:dyDescent="0.3">
      <c r="A101" s="35" t="s">
        <v>1</v>
      </c>
      <c r="B101" s="57" t="s">
        <v>5</v>
      </c>
      <c r="C101" s="7" t="s">
        <v>176</v>
      </c>
      <c r="D101" s="139" t="s">
        <v>8</v>
      </c>
      <c r="E101" s="35" t="s">
        <v>45</v>
      </c>
      <c r="F101" s="35" t="s">
        <v>11</v>
      </c>
      <c r="G101" s="139" t="s">
        <v>482</v>
      </c>
      <c r="H101" s="113" t="s">
        <v>128</v>
      </c>
      <c r="I101" s="139" t="s">
        <v>15</v>
      </c>
      <c r="J101" s="139" t="s">
        <v>177</v>
      </c>
      <c r="K101" s="133" t="s">
        <v>24</v>
      </c>
      <c r="L101" s="185" t="s">
        <v>29</v>
      </c>
      <c r="M101" s="16">
        <f ca="1">IF(Tabla1[[#This Row],[Estado]]="Activa",NETWORKDAYS(Tabla1[[#This Row],[Fecha Inicio Búsqueda]],TODAY()),NETWORKDAYS(Tabla1[[#This Row],[Fecha Inicio Búsqueda]],Tabla1[[#This Row],[Fecha Cubierta Búsqueda]]))</f>
        <v>24</v>
      </c>
      <c r="N101" s="140" t="s">
        <v>483</v>
      </c>
      <c r="O101" s="20" t="s">
        <v>484</v>
      </c>
      <c r="P101" s="141" t="s">
        <v>22</v>
      </c>
      <c r="Q101" s="144">
        <v>46118</v>
      </c>
      <c r="R101" s="144">
        <v>46070</v>
      </c>
      <c r="S101" s="180">
        <v>46101</v>
      </c>
      <c r="T101" s="57" t="s">
        <v>210</v>
      </c>
      <c r="U101" s="82"/>
      <c r="V101" s="155">
        <v>800000</v>
      </c>
    </row>
    <row r="102" spans="1:22" x14ac:dyDescent="0.3">
      <c r="A102" s="1" t="s">
        <v>3</v>
      </c>
      <c r="B102" s="6" t="s">
        <v>6</v>
      </c>
      <c r="C102" s="1" t="s">
        <v>485</v>
      </c>
      <c r="D102" s="139" t="s">
        <v>8</v>
      </c>
      <c r="E102" s="35" t="s">
        <v>402</v>
      </c>
      <c r="F102" s="4" t="s">
        <v>11</v>
      </c>
      <c r="G102" s="5" t="s">
        <v>486</v>
      </c>
      <c r="H102" s="45" t="s">
        <v>487</v>
      </c>
      <c r="I102" s="1" t="s">
        <v>15</v>
      </c>
      <c r="J102" s="10" t="s">
        <v>488</v>
      </c>
      <c r="K102" s="133" t="s">
        <v>23</v>
      </c>
      <c r="L102" s="127" t="s">
        <v>28</v>
      </c>
      <c r="M102" s="16">
        <f ca="1">IF(Tabla1[[#This Row],[Estado]]="Activa",NETWORKDAYS(Tabla1[[#This Row],[Fecha Inicio Búsqueda]],TODAY()),NETWORKDAYS(Tabla1[[#This Row],[Fecha Inicio Búsqueda]],Tabla1[[#This Row],[Fecha Cubierta Búsqueda]]))</f>
        <v>27</v>
      </c>
      <c r="N102" s="34"/>
      <c r="O102" s="34"/>
      <c r="P102" s="34"/>
      <c r="Q102" s="42"/>
      <c r="R102" s="54">
        <v>46069</v>
      </c>
      <c r="S102" s="54"/>
      <c r="T102" s="43" t="s">
        <v>489</v>
      </c>
      <c r="U102" s="43" t="s">
        <v>83</v>
      </c>
      <c r="V102" s="10"/>
    </row>
    <row r="103" spans="1:22" ht="28.8" x14ac:dyDescent="0.3">
      <c r="A103" s="1" t="s">
        <v>0</v>
      </c>
      <c r="B103" s="6" t="s">
        <v>6</v>
      </c>
      <c r="C103" s="1" t="s">
        <v>328</v>
      </c>
      <c r="D103" s="2" t="s">
        <v>8</v>
      </c>
      <c r="E103" s="78" t="s">
        <v>114</v>
      </c>
      <c r="F103" s="4" t="s">
        <v>12</v>
      </c>
      <c r="G103" s="5" t="s">
        <v>323</v>
      </c>
      <c r="H103" s="45" t="s">
        <v>490</v>
      </c>
      <c r="I103" s="1" t="s">
        <v>18</v>
      </c>
      <c r="J103" s="10" t="s">
        <v>334</v>
      </c>
      <c r="K103" s="133" t="s">
        <v>23</v>
      </c>
      <c r="L103" s="127"/>
      <c r="M103" s="16">
        <f ca="1">IF(Tabla1[[#This Row],[Estado]]="Activa",NETWORKDAYS(Tabla1[[#This Row],[Fecha Inicio Búsqueda]],TODAY()),NETWORKDAYS(Tabla1[[#This Row],[Fecha Inicio Búsqueda]],Tabla1[[#This Row],[Fecha Cubierta Búsqueda]]))</f>
        <v>32932</v>
      </c>
      <c r="N103" s="34" t="s">
        <v>491</v>
      </c>
      <c r="O103" s="49"/>
      <c r="P103" s="20"/>
      <c r="Q103" s="137"/>
      <c r="R103" s="137"/>
      <c r="S103" s="137"/>
      <c r="T103" s="10"/>
      <c r="U103" s="55"/>
      <c r="V103" s="10"/>
    </row>
    <row r="104" spans="1:22" x14ac:dyDescent="0.3">
      <c r="A104" s="1" t="s">
        <v>3</v>
      </c>
      <c r="B104" s="6" t="s">
        <v>6</v>
      </c>
      <c r="C104" s="1" t="s">
        <v>355</v>
      </c>
      <c r="D104" s="2" t="s">
        <v>10</v>
      </c>
      <c r="E104" s="35" t="s">
        <v>45</v>
      </c>
      <c r="F104" s="4" t="s">
        <v>11</v>
      </c>
      <c r="G104" s="5" t="s">
        <v>492</v>
      </c>
      <c r="H104" s="45" t="s">
        <v>366</v>
      </c>
      <c r="I104" s="1" t="s">
        <v>16</v>
      </c>
      <c r="J104" s="10" t="s">
        <v>414</v>
      </c>
      <c r="K104" s="133" t="s">
        <v>23</v>
      </c>
      <c r="L104" s="127" t="s">
        <v>28</v>
      </c>
      <c r="M104" s="16">
        <f ca="1">IF(Tabla1[[#This Row],[Estado]]="Activa",NETWORKDAYS(Tabla1[[#This Row],[Fecha Inicio Búsqueda]],TODAY()),NETWORKDAYS(Tabla1[[#This Row],[Fecha Inicio Búsqueda]],Tabla1[[#This Row],[Fecha Cubierta Búsqueda]]))</f>
        <v>19</v>
      </c>
      <c r="N104" s="34"/>
      <c r="O104" s="49"/>
      <c r="P104" s="20"/>
      <c r="Q104" s="137"/>
      <c r="R104" s="137">
        <v>46079</v>
      </c>
      <c r="S104" s="137"/>
      <c r="T104" s="10" t="s">
        <v>493</v>
      </c>
      <c r="U104" s="55" t="s">
        <v>83</v>
      </c>
      <c r="V104" s="10"/>
    </row>
    <row r="105" spans="1:22" x14ac:dyDescent="0.3">
      <c r="A105" s="74" t="s">
        <v>0</v>
      </c>
      <c r="B105" s="74" t="s">
        <v>5</v>
      </c>
      <c r="C105" s="74" t="s">
        <v>0</v>
      </c>
      <c r="D105" s="74" t="s">
        <v>9</v>
      </c>
      <c r="E105" s="34" t="s">
        <v>44</v>
      </c>
      <c r="F105" s="74" t="s">
        <v>11</v>
      </c>
      <c r="G105" s="74" t="s">
        <v>107</v>
      </c>
      <c r="H105" s="127" t="s">
        <v>494</v>
      </c>
      <c r="I105" s="74" t="s">
        <v>18</v>
      </c>
      <c r="J105" s="74" t="s">
        <v>495</v>
      </c>
      <c r="K105" s="127" t="s">
        <v>24</v>
      </c>
      <c r="L105" s="127"/>
      <c r="M105" s="16">
        <f ca="1">IF(Tabla1[[#This Row],[Estado]]="Activa",NETWORKDAYS(Tabla1[[#This Row],[Fecha Inicio Búsqueda]],TODAY()),NETWORKDAYS(Tabla1[[#This Row],[Fecha Inicio Búsqueda]],Tabla1[[#This Row],[Fecha Cubierta Búsqueda]]))</f>
        <v>14</v>
      </c>
      <c r="N105" s="109" t="s">
        <v>496</v>
      </c>
      <c r="O105" s="34" t="s">
        <v>497</v>
      </c>
      <c r="P105" s="34" t="s">
        <v>21</v>
      </c>
      <c r="Q105" s="70">
        <v>46054</v>
      </c>
      <c r="R105" s="70">
        <v>46010</v>
      </c>
      <c r="S105" s="70">
        <v>46029</v>
      </c>
      <c r="T105" s="35"/>
      <c r="U105" s="131" t="s">
        <v>83</v>
      </c>
      <c r="V105" s="122"/>
    </row>
    <row r="106" spans="1:22" x14ac:dyDescent="0.3">
      <c r="A106" s="74" t="s">
        <v>0</v>
      </c>
      <c r="B106" s="74" t="s">
        <v>5</v>
      </c>
      <c r="C106" s="74" t="s">
        <v>0</v>
      </c>
      <c r="D106" s="74" t="s">
        <v>9</v>
      </c>
      <c r="E106" s="34" t="s">
        <v>44</v>
      </c>
      <c r="F106" s="74" t="s">
        <v>11</v>
      </c>
      <c r="G106" s="74" t="s">
        <v>107</v>
      </c>
      <c r="H106" s="127" t="s">
        <v>498</v>
      </c>
      <c r="I106" s="74" t="s">
        <v>18</v>
      </c>
      <c r="J106" s="74"/>
      <c r="K106" s="127" t="s">
        <v>24</v>
      </c>
      <c r="L106" s="127"/>
      <c r="M106" s="16">
        <f ca="1">IF(Tabla1[[#This Row],[Estado]]="Activa",NETWORKDAYS(Tabla1[[#This Row],[Fecha Inicio Búsqueda]],TODAY()),NETWORKDAYS(Tabla1[[#This Row],[Fecha Inicio Búsqueda]],Tabla1[[#This Row],[Fecha Cubierta Búsqueda]]))</f>
        <v>33</v>
      </c>
      <c r="N106" s="109" t="s">
        <v>499</v>
      </c>
      <c r="O106" s="34" t="s">
        <v>437</v>
      </c>
      <c r="P106" s="34" t="s">
        <v>22</v>
      </c>
      <c r="Q106" s="129">
        <v>45889</v>
      </c>
      <c r="R106" s="129">
        <v>45981</v>
      </c>
      <c r="S106" s="70">
        <v>46027</v>
      </c>
      <c r="T106" s="35"/>
      <c r="U106" s="131" t="s">
        <v>83</v>
      </c>
      <c r="V106" s="122"/>
    </row>
    <row r="107" spans="1:22" ht="28.8" x14ac:dyDescent="0.3">
      <c r="A107" s="5" t="s">
        <v>2</v>
      </c>
      <c r="B107" s="24" t="s">
        <v>5</v>
      </c>
      <c r="C107" s="174" t="s">
        <v>291</v>
      </c>
      <c r="D107" s="27" t="s">
        <v>8</v>
      </c>
      <c r="E107" s="27" t="s">
        <v>48</v>
      </c>
      <c r="F107" s="177" t="s">
        <v>11</v>
      </c>
      <c r="G107" s="35" t="s">
        <v>218</v>
      </c>
      <c r="H107" s="45" t="s">
        <v>296</v>
      </c>
      <c r="I107" s="27" t="s">
        <v>123</v>
      </c>
      <c r="J107" s="35" t="s">
        <v>500</v>
      </c>
      <c r="K107" s="29" t="s">
        <v>23</v>
      </c>
      <c r="L107" s="127" t="s">
        <v>29</v>
      </c>
      <c r="M107" s="16">
        <f ca="1">IF(Tabla1[[#This Row],[Estado]]="Activa",NETWORKDAYS(Tabla1[[#This Row],[Fecha Inicio Búsqueda]],TODAY()),NETWORKDAYS(Tabla1[[#This Row],[Fecha Inicio Búsqueda]],Tabla1[[#This Row],[Fecha Cubierta Búsqueda]]))</f>
        <v>14</v>
      </c>
      <c r="N107" s="84" t="s">
        <v>501</v>
      </c>
      <c r="O107" s="84" t="s">
        <v>502</v>
      </c>
      <c r="P107" s="26" t="s">
        <v>22</v>
      </c>
      <c r="Q107" s="170">
        <v>46113</v>
      </c>
      <c r="R107" s="70">
        <v>46086</v>
      </c>
      <c r="S107" s="136">
        <v>46091</v>
      </c>
      <c r="T107" s="35"/>
      <c r="U107" s="82"/>
      <c r="V107" s="82"/>
    </row>
    <row r="108" spans="1:22" ht="28.8" x14ac:dyDescent="0.3">
      <c r="A108" s="1" t="s">
        <v>2</v>
      </c>
      <c r="B108" s="24" t="s">
        <v>5</v>
      </c>
      <c r="C108" s="175" t="s">
        <v>185</v>
      </c>
      <c r="D108" s="27" t="s">
        <v>8</v>
      </c>
      <c r="E108" s="139" t="s">
        <v>503</v>
      </c>
      <c r="F108" s="175" t="s">
        <v>11</v>
      </c>
      <c r="G108" s="139" t="s">
        <v>504</v>
      </c>
      <c r="H108" s="113" t="s">
        <v>505</v>
      </c>
      <c r="I108" s="27" t="s">
        <v>123</v>
      </c>
      <c r="J108" s="139" t="s">
        <v>506</v>
      </c>
      <c r="K108" s="29" t="s">
        <v>23</v>
      </c>
      <c r="L108" s="127" t="s">
        <v>29</v>
      </c>
      <c r="M108" s="16">
        <f ca="1">IF(Tabla1[[#This Row],[Estado]]="Activa",NETWORKDAYS(Tabla1[[#This Row],[Fecha Inicio Búsqueda]],TODAY()),NETWORKDAYS(Tabla1[[#This Row],[Fecha Inicio Búsqueda]],Tabla1[[#This Row],[Fecha Cubierta Búsqueda]]))</f>
        <v>17</v>
      </c>
      <c r="N108" s="84" t="s">
        <v>507</v>
      </c>
      <c r="O108" s="84" t="s">
        <v>508</v>
      </c>
      <c r="P108" s="140" t="s">
        <v>22</v>
      </c>
      <c r="Q108" s="85"/>
      <c r="R108" s="144">
        <v>46083</v>
      </c>
      <c r="S108" s="144"/>
      <c r="T108" s="82"/>
      <c r="U108" s="82"/>
      <c r="V108" s="82"/>
    </row>
    <row r="109" spans="1:22" x14ac:dyDescent="0.3">
      <c r="A109" s="74" t="s">
        <v>0</v>
      </c>
      <c r="B109" s="74" t="s">
        <v>5</v>
      </c>
      <c r="C109" s="74" t="s">
        <v>509</v>
      </c>
      <c r="D109" s="74" t="s">
        <v>9</v>
      </c>
      <c r="E109" s="35" t="s">
        <v>331</v>
      </c>
      <c r="F109" s="74" t="s">
        <v>12</v>
      </c>
      <c r="G109" s="74" t="s">
        <v>510</v>
      </c>
      <c r="H109" s="161" t="s">
        <v>511</v>
      </c>
      <c r="I109" s="74" t="s">
        <v>18</v>
      </c>
      <c r="J109" s="74" t="s">
        <v>334</v>
      </c>
      <c r="K109" s="15" t="s">
        <v>23</v>
      </c>
      <c r="L109" s="16"/>
      <c r="M109" s="74">
        <f ca="1">IF(Tabla1[[#This Row],[Estado]]="Activa",NETWORKDAYS(Tabla1[[#This Row],[Fecha Inicio Búsqueda]],TODAY()),NETWORKDAYS(Tabla1[[#This Row],[Fecha Inicio Búsqueda]],Tabla1[[#This Row],[Fecha Cubierta Búsqueda]]))</f>
        <v>7</v>
      </c>
      <c r="N109" s="50"/>
      <c r="O109" s="50"/>
      <c r="P109" s="50"/>
      <c r="Q109" s="128"/>
      <c r="R109" s="128">
        <v>46097</v>
      </c>
      <c r="S109" s="128"/>
      <c r="T109" s="74"/>
      <c r="U109" s="122"/>
      <c r="V109" s="122"/>
    </row>
    <row r="110" spans="1:22" x14ac:dyDescent="0.3">
      <c r="A110" s="74"/>
      <c r="B110" s="74"/>
      <c r="C110" s="74"/>
      <c r="D110" s="74"/>
      <c r="E110" s="162"/>
      <c r="F110" s="74"/>
      <c r="G110" s="74"/>
      <c r="H110" s="161"/>
      <c r="I110" s="74"/>
      <c r="J110" s="74"/>
      <c r="K110" s="15"/>
      <c r="L110" s="16"/>
      <c r="M110" s="74"/>
      <c r="N110" s="50"/>
      <c r="O110" s="50"/>
      <c r="P110" s="50"/>
      <c r="Q110" s="128"/>
      <c r="R110" s="128"/>
      <c r="S110" s="128"/>
      <c r="T110" s="74"/>
      <c r="U110" s="122"/>
      <c r="V110" s="122"/>
    </row>
    <row r="111" spans="1:22" x14ac:dyDescent="0.3">
      <c r="A111" s="74" t="s">
        <v>0</v>
      </c>
      <c r="B111" s="74" t="s">
        <v>5</v>
      </c>
      <c r="C111" s="74" t="s">
        <v>110</v>
      </c>
      <c r="D111" s="74" t="s">
        <v>8</v>
      </c>
      <c r="E111" s="35" t="s">
        <v>331</v>
      </c>
      <c r="F111" s="74" t="s">
        <v>12</v>
      </c>
      <c r="G111" s="74" t="s">
        <v>512</v>
      </c>
      <c r="H111" s="161" t="s">
        <v>13</v>
      </c>
      <c r="I111" s="74" t="s">
        <v>13</v>
      </c>
      <c r="J111" s="74"/>
      <c r="K111" s="15" t="s">
        <v>23</v>
      </c>
      <c r="L111" s="16"/>
      <c r="M111" s="74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11" s="50"/>
      <c r="O111" s="50"/>
      <c r="P111" s="50"/>
      <c r="Q111" s="128"/>
      <c r="R111" s="128">
        <v>46076</v>
      </c>
      <c r="S111" s="128"/>
      <c r="T111" s="74"/>
      <c r="U111" s="122"/>
      <c r="V111" s="122"/>
    </row>
    <row r="112" spans="1:22" x14ac:dyDescent="0.3">
      <c r="A112" s="74" t="s">
        <v>0</v>
      </c>
      <c r="B112" s="74" t="s">
        <v>5</v>
      </c>
      <c r="C112" s="74" t="s">
        <v>110</v>
      </c>
      <c r="D112" s="74" t="s">
        <v>8</v>
      </c>
      <c r="E112" s="162" t="s">
        <v>513</v>
      </c>
      <c r="F112" s="74" t="s">
        <v>11</v>
      </c>
      <c r="G112" s="74" t="s">
        <v>514</v>
      </c>
      <c r="H112" s="161" t="s">
        <v>515</v>
      </c>
      <c r="I112" s="74" t="s">
        <v>16</v>
      </c>
      <c r="J112" s="74" t="s">
        <v>516</v>
      </c>
      <c r="K112" s="15" t="s">
        <v>23</v>
      </c>
      <c r="L112" s="16"/>
      <c r="M112" s="74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12" s="50"/>
      <c r="O112" s="50"/>
      <c r="P112" s="50"/>
      <c r="Q112" s="128"/>
      <c r="R112" s="128">
        <v>46076</v>
      </c>
      <c r="S112" s="128"/>
      <c r="T112" s="74"/>
      <c r="U112" s="122"/>
      <c r="V112" s="122"/>
    </row>
    <row r="113" spans="1:22" x14ac:dyDescent="0.3">
      <c r="A113" s="74" t="s">
        <v>0</v>
      </c>
      <c r="B113" s="74" t="s">
        <v>5</v>
      </c>
      <c r="C113" s="74" t="s">
        <v>110</v>
      </c>
      <c r="D113" s="74" t="s">
        <v>8</v>
      </c>
      <c r="E113" s="34" t="s">
        <v>44</v>
      </c>
      <c r="F113" s="74" t="s">
        <v>12</v>
      </c>
      <c r="G113" s="74" t="s">
        <v>517</v>
      </c>
      <c r="H113" s="161" t="s">
        <v>13</v>
      </c>
      <c r="I113" s="74" t="s">
        <v>13</v>
      </c>
      <c r="J113" s="74"/>
      <c r="K113" s="15" t="s">
        <v>23</v>
      </c>
      <c r="L113" s="16"/>
      <c r="M113" s="74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13" s="50"/>
      <c r="O113" s="50"/>
      <c r="P113" s="50"/>
      <c r="Q113" s="128"/>
      <c r="R113" s="128">
        <v>46076</v>
      </c>
      <c r="S113" s="128"/>
      <c r="T113" s="74"/>
      <c r="U113" s="122"/>
      <c r="V113" s="122"/>
    </row>
    <row r="114" spans="1:22" ht="28.8" x14ac:dyDescent="0.3">
      <c r="A114" s="74" t="s">
        <v>0</v>
      </c>
      <c r="B114" s="74" t="s">
        <v>5</v>
      </c>
      <c r="C114" s="74" t="s">
        <v>518</v>
      </c>
      <c r="D114" s="74" t="s">
        <v>9</v>
      </c>
      <c r="E114" s="162" t="s">
        <v>513</v>
      </c>
      <c r="F114" s="74" t="s">
        <v>12</v>
      </c>
      <c r="G114" s="74" t="s">
        <v>519</v>
      </c>
      <c r="H114" s="161" t="s">
        <v>520</v>
      </c>
      <c r="I114" s="74" t="s">
        <v>18</v>
      </c>
      <c r="J114" s="74" t="s">
        <v>430</v>
      </c>
      <c r="K114" s="15" t="s">
        <v>23</v>
      </c>
      <c r="L114" s="16"/>
      <c r="M114" s="74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14" s="50" t="s">
        <v>521</v>
      </c>
      <c r="O114" s="50"/>
      <c r="P114" s="50"/>
      <c r="Q114" s="128"/>
      <c r="R114" s="128">
        <v>46076</v>
      </c>
      <c r="S114" s="128"/>
      <c r="T114" s="74"/>
      <c r="U114" s="122"/>
      <c r="V114" s="122"/>
    </row>
    <row r="115" spans="1:22" x14ac:dyDescent="0.3">
      <c r="A115" s="82"/>
      <c r="B115" s="82"/>
      <c r="C115" s="82"/>
      <c r="D115" s="82"/>
      <c r="E115" s="82"/>
      <c r="F115" s="82"/>
      <c r="G115" s="82"/>
      <c r="H115" s="83"/>
      <c r="I115" s="82"/>
      <c r="J115" s="82"/>
      <c r="K115" s="82"/>
      <c r="L115" s="82"/>
      <c r="M115" s="82"/>
      <c r="N115" s="84"/>
      <c r="O115" s="84"/>
      <c r="P115" s="84"/>
      <c r="Q115" s="85"/>
      <c r="R115" s="144"/>
      <c r="S115" s="144"/>
      <c r="T115" s="82"/>
      <c r="U115" s="82"/>
      <c r="V115" s="82"/>
    </row>
    <row r="116" spans="1:22" x14ac:dyDescent="0.3">
      <c r="A116" s="82"/>
      <c r="B116" s="82"/>
      <c r="C116" s="82"/>
      <c r="D116" s="82"/>
      <c r="E116" s="82"/>
      <c r="F116" s="82"/>
      <c r="G116" s="82"/>
      <c r="H116" s="83"/>
      <c r="I116" s="82"/>
      <c r="J116" s="82"/>
      <c r="K116" s="82"/>
      <c r="L116" s="82"/>
      <c r="M116" s="82"/>
      <c r="N116" s="84"/>
      <c r="O116" s="84"/>
      <c r="P116" s="84"/>
      <c r="Q116" s="85"/>
      <c r="R116" s="144"/>
      <c r="S116" s="144"/>
      <c r="T116" s="82"/>
      <c r="U116" s="82"/>
      <c r="V116" s="82"/>
    </row>
    <row r="117" spans="1:22" x14ac:dyDescent="0.3">
      <c r="A117" s="74"/>
      <c r="B117" s="74"/>
      <c r="C117" s="74"/>
      <c r="D117" s="74"/>
      <c r="E117" s="74"/>
      <c r="F117" s="74"/>
      <c r="G117" s="74"/>
      <c r="H117" s="161" t="s">
        <v>522</v>
      </c>
      <c r="I117" s="74"/>
      <c r="J117" s="74"/>
      <c r="K117" s="74"/>
      <c r="L117" s="74"/>
      <c r="M117" s="74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17" s="123"/>
      <c r="O117" s="123"/>
      <c r="P117" s="123"/>
      <c r="Q117" s="128"/>
      <c r="R117" s="128"/>
      <c r="S117" s="128"/>
      <c r="T117" s="74"/>
      <c r="U117" s="122"/>
      <c r="V117" s="122"/>
    </row>
    <row r="118" spans="1:22" x14ac:dyDescent="0.3">
      <c r="A118" s="74"/>
      <c r="B118" s="74"/>
      <c r="C118" s="74"/>
      <c r="D118" s="74"/>
      <c r="E118" s="74"/>
      <c r="F118" s="74"/>
      <c r="G118" s="74"/>
      <c r="H118" s="161" t="s">
        <v>523</v>
      </c>
      <c r="I118" s="74"/>
      <c r="J118" s="74"/>
      <c r="K118" s="74"/>
      <c r="L118" s="74"/>
      <c r="M118" s="74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18" s="123"/>
      <c r="O118" s="123"/>
      <c r="P118" s="123"/>
      <c r="Q118" s="128"/>
      <c r="R118" s="128"/>
      <c r="S118" s="128"/>
      <c r="T118" s="74"/>
      <c r="U118" s="122"/>
      <c r="V118" s="122"/>
    </row>
    <row r="119" spans="1:22" x14ac:dyDescent="0.3">
      <c r="A119" s="74"/>
      <c r="B119" s="74"/>
      <c r="C119" s="74"/>
      <c r="D119" s="74"/>
      <c r="E119" s="74"/>
      <c r="F119" s="74"/>
      <c r="G119" s="74"/>
      <c r="H119" s="161" t="s">
        <v>524</v>
      </c>
      <c r="I119" s="74"/>
      <c r="J119" s="74"/>
      <c r="K119" s="74"/>
      <c r="L119" s="74"/>
      <c r="M119" s="74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19" s="123"/>
      <c r="O119" s="123"/>
      <c r="P119" s="123"/>
      <c r="Q119" s="128"/>
      <c r="R119" s="128"/>
      <c r="S119" s="128"/>
      <c r="T119" s="74"/>
      <c r="U119" s="122"/>
      <c r="V119" s="122"/>
    </row>
    <row r="120" spans="1:22" x14ac:dyDescent="0.3">
      <c r="A120" s="74" t="s">
        <v>0</v>
      </c>
      <c r="B120" s="74" t="s">
        <v>5</v>
      </c>
      <c r="C120" s="74" t="s">
        <v>79</v>
      </c>
      <c r="D120" s="74" t="s">
        <v>8</v>
      </c>
      <c r="E120" s="74" t="s">
        <v>114</v>
      </c>
      <c r="F120" s="74" t="s">
        <v>12</v>
      </c>
      <c r="G120" s="74" t="s">
        <v>525</v>
      </c>
      <c r="H120" s="161" t="s">
        <v>526</v>
      </c>
      <c r="I120" s="74" t="s">
        <v>16</v>
      </c>
      <c r="J120" s="74" t="s">
        <v>334</v>
      </c>
      <c r="K120" s="74" t="s">
        <v>23</v>
      </c>
      <c r="L120" s="74"/>
      <c r="M120" s="16">
        <v>16</v>
      </c>
      <c r="N120" s="123" t="s">
        <v>527</v>
      </c>
      <c r="O120" s="123"/>
      <c r="P120" s="123"/>
      <c r="Q120" s="128"/>
      <c r="R120" s="128">
        <v>46076</v>
      </c>
      <c r="S120" s="128"/>
      <c r="T120" s="74"/>
      <c r="U120" s="122" t="s">
        <v>83</v>
      </c>
      <c r="V120" s="122"/>
    </row>
    <row r="121" spans="1:22" x14ac:dyDescent="0.3">
      <c r="A121" s="74" t="s">
        <v>0</v>
      </c>
      <c r="B121" s="74" t="s">
        <v>5</v>
      </c>
      <c r="C121" s="74" t="s">
        <v>99</v>
      </c>
      <c r="D121" s="74" t="s">
        <v>8</v>
      </c>
      <c r="E121" s="74" t="s">
        <v>528</v>
      </c>
      <c r="F121" s="74" t="s">
        <v>11</v>
      </c>
      <c r="G121" s="74" t="s">
        <v>529</v>
      </c>
      <c r="H121" s="161" t="s">
        <v>530</v>
      </c>
      <c r="I121" s="74" t="s">
        <v>16</v>
      </c>
      <c r="J121" s="74" t="s">
        <v>334</v>
      </c>
      <c r="K121" s="74" t="s">
        <v>24</v>
      </c>
      <c r="L121" s="74"/>
      <c r="M121" s="74">
        <f ca="1">IF(Tabla1[[#This Row],[Estado]]="Activa",NETWORKDAYS(Tabla1[[#This Row],[Fecha Inicio Búsqueda]],TODAY()),NETWORKDAYS(Tabla1[[#This Row],[Fecha Inicio Búsqueda]],Tabla1[[#This Row],[Fecha Cubierta Búsqueda]]))</f>
        <v>19</v>
      </c>
      <c r="N121" s="123" t="s">
        <v>531</v>
      </c>
      <c r="O121" s="123" t="s">
        <v>532</v>
      </c>
      <c r="P121" s="123" t="s">
        <v>20</v>
      </c>
      <c r="Q121" s="128">
        <v>46113</v>
      </c>
      <c r="R121" s="128">
        <v>46071</v>
      </c>
      <c r="S121" s="128">
        <v>46097</v>
      </c>
      <c r="T121" s="74"/>
      <c r="U121" s="122" t="s">
        <v>83</v>
      </c>
      <c r="V121" s="122" t="s">
        <v>533</v>
      </c>
    </row>
    <row r="122" spans="1:22" x14ac:dyDescent="0.3">
      <c r="A122" s="74" t="s">
        <v>4</v>
      </c>
      <c r="B122" s="74" t="s">
        <v>7</v>
      </c>
      <c r="C122" s="74" t="s">
        <v>455</v>
      </c>
      <c r="D122" s="74" t="s">
        <v>8</v>
      </c>
      <c r="E122" s="74" t="s">
        <v>450</v>
      </c>
      <c r="F122" s="74" t="s">
        <v>12</v>
      </c>
      <c r="G122" s="74" t="s">
        <v>534</v>
      </c>
      <c r="H122" s="161" t="s">
        <v>535</v>
      </c>
      <c r="I122" s="74" t="s">
        <v>13</v>
      </c>
      <c r="J122" s="74" t="s">
        <v>430</v>
      </c>
      <c r="K122" s="127" t="s">
        <v>23</v>
      </c>
      <c r="L122" s="127"/>
      <c r="M122" s="16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22" s="169" t="s">
        <v>536</v>
      </c>
      <c r="O122" s="123"/>
      <c r="P122" s="123"/>
      <c r="Q122" s="128"/>
      <c r="R122" s="128">
        <v>46076</v>
      </c>
      <c r="S122" s="128">
        <v>46072</v>
      </c>
      <c r="T122" s="74" t="s">
        <v>454</v>
      </c>
      <c r="U122" s="168" t="s">
        <v>427</v>
      </c>
      <c r="V122" s="122"/>
    </row>
    <row r="123" spans="1:22" x14ac:dyDescent="0.3">
      <c r="A123" s="74" t="s">
        <v>4</v>
      </c>
      <c r="B123" s="74" t="s">
        <v>7</v>
      </c>
      <c r="C123" s="74" t="s">
        <v>449</v>
      </c>
      <c r="D123" s="168" t="s">
        <v>8</v>
      </c>
      <c r="E123" s="74" t="s">
        <v>537</v>
      </c>
      <c r="F123" s="35" t="s">
        <v>11</v>
      </c>
      <c r="G123" s="74" t="s">
        <v>538</v>
      </c>
      <c r="H123" s="161" t="s">
        <v>539</v>
      </c>
      <c r="I123" s="35" t="s">
        <v>16</v>
      </c>
      <c r="J123" s="74" t="s">
        <v>540</v>
      </c>
      <c r="K123" s="74" t="s">
        <v>23</v>
      </c>
      <c r="L123" s="74"/>
      <c r="M123" s="74">
        <f ca="1">IF(Tabla1[[#This Row],[Estado]]="Activa",NETWORKDAYS(Tabla1[[#This Row],[Fecha Inicio Búsqueda]],TODAY()),NETWORKDAYS(Tabla1[[#This Row],[Fecha Inicio Búsqueda]],Tabla1[[#This Row],[Fecha Cubierta Búsqueda]]))</f>
        <v>32932</v>
      </c>
      <c r="N123" s="169" t="s">
        <v>541</v>
      </c>
      <c r="O123" s="123"/>
      <c r="P123" s="141" t="s">
        <v>22</v>
      </c>
      <c r="Q123" s="128"/>
      <c r="R123" s="128"/>
      <c r="S123" s="128"/>
      <c r="T123" s="74" t="s">
        <v>426</v>
      </c>
      <c r="U123" s="168" t="s">
        <v>427</v>
      </c>
      <c r="V123" s="122"/>
    </row>
    <row r="124" spans="1:22" x14ac:dyDescent="0.3">
      <c r="A124" s="1" t="s">
        <v>2</v>
      </c>
      <c r="B124" s="24" t="s">
        <v>5</v>
      </c>
      <c r="C124" s="174" t="s">
        <v>291</v>
      </c>
      <c r="D124" s="27" t="s">
        <v>8</v>
      </c>
      <c r="E124" s="74" t="s">
        <v>542</v>
      </c>
      <c r="F124" s="178" t="s">
        <v>11</v>
      </c>
      <c r="G124" s="74" t="s">
        <v>543</v>
      </c>
      <c r="H124" s="161" t="s">
        <v>544</v>
      </c>
      <c r="I124" s="35" t="s">
        <v>16</v>
      </c>
      <c r="J124" s="35" t="s">
        <v>545</v>
      </c>
      <c r="K124" s="133" t="s">
        <v>23</v>
      </c>
      <c r="L124" s="127" t="s">
        <v>28</v>
      </c>
      <c r="M124" s="35">
        <f ca="1">IF(Tabla1[[#This Row],[Estado]]="Activa",NETWORKDAYS(Tabla1[[#This Row],[Fecha Inicio Búsqueda]],TODAY()),NETWORKDAYS(Tabla1[[#This Row],[Fecha Inicio Búsqueda]],Tabla1[[#This Row],[Fecha Cubierta Búsqueda]]))</f>
        <v>32932</v>
      </c>
      <c r="N124" s="84"/>
      <c r="O124" s="84"/>
      <c r="P124" s="140" t="s">
        <v>22</v>
      </c>
      <c r="Q124" s="70"/>
      <c r="R124" s="70"/>
      <c r="S124" s="70"/>
      <c r="T124" s="35"/>
      <c r="U124" s="82"/>
      <c r="V124" s="82"/>
    </row>
    <row r="125" spans="1:22" x14ac:dyDescent="0.3">
      <c r="A125" s="74" t="s">
        <v>2</v>
      </c>
      <c r="B125" s="24" t="s">
        <v>5</v>
      </c>
      <c r="C125" s="174" t="s">
        <v>291</v>
      </c>
      <c r="D125" s="27" t="s">
        <v>8</v>
      </c>
      <c r="E125" s="10" t="s">
        <v>48</v>
      </c>
      <c r="F125" s="172" t="s">
        <v>11</v>
      </c>
      <c r="G125" s="10" t="s">
        <v>546</v>
      </c>
      <c r="H125" s="184" t="s">
        <v>547</v>
      </c>
      <c r="I125" s="89" t="s">
        <v>16</v>
      </c>
      <c r="J125" s="74"/>
      <c r="K125" s="127" t="s">
        <v>23</v>
      </c>
      <c r="L125" s="127" t="s">
        <v>28</v>
      </c>
      <c r="M125" s="74">
        <f ca="1">IF(Tabla1[[#This Row],[Estado]]="Activa",NETWORKDAYS(Tabla1[[#This Row],[Fecha Inicio Búsqueda]],TODAY()),NETWORKDAYS(Tabla1[[#This Row],[Fecha Inicio Búsqueda]],Tabla1[[#This Row],[Fecha Cubierta Búsqueda]]))</f>
        <v>32932</v>
      </c>
      <c r="N125" s="123"/>
      <c r="O125" s="123"/>
      <c r="P125" s="169" t="s">
        <v>22</v>
      </c>
      <c r="Q125" s="128"/>
      <c r="R125" s="128"/>
      <c r="S125" s="128"/>
      <c r="T125" s="74"/>
      <c r="U125" s="122"/>
      <c r="V125" s="122"/>
    </row>
    <row r="126" spans="1:22" x14ac:dyDescent="0.3">
      <c r="A126" s="74" t="s">
        <v>0</v>
      </c>
      <c r="B126" s="74" t="s">
        <v>5</v>
      </c>
      <c r="C126" s="74"/>
      <c r="D126" s="74"/>
      <c r="E126" s="182"/>
      <c r="F126" s="182"/>
      <c r="G126" s="182"/>
      <c r="H126" s="183"/>
      <c r="I126" s="74"/>
      <c r="J126" s="74"/>
      <c r="K126" s="74"/>
      <c r="L126" s="74"/>
      <c r="M126" s="74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26" s="123"/>
      <c r="O126" s="123"/>
      <c r="P126" s="123"/>
      <c r="Q126" s="128"/>
      <c r="R126" s="128"/>
      <c r="S126" s="128"/>
      <c r="T126" s="74"/>
      <c r="U126" s="122"/>
      <c r="V126" s="122"/>
    </row>
    <row r="127" spans="1:22" x14ac:dyDescent="0.3">
      <c r="A127" s="74" t="s">
        <v>0</v>
      </c>
      <c r="B127" s="74" t="s">
        <v>5</v>
      </c>
      <c r="C127" s="74"/>
      <c r="D127" s="74"/>
      <c r="E127" s="74"/>
      <c r="F127" s="74"/>
      <c r="G127" s="74"/>
      <c r="H127" s="161"/>
      <c r="I127" s="74"/>
      <c r="J127" s="74"/>
      <c r="K127" s="74"/>
      <c r="L127" s="74"/>
      <c r="M127" s="74">
        <f ca="1">IF(Tabla1[[#This Row],[Estado]]="Activa",NETWORKDAYS(Tabla1[[#This Row],[Fecha Inicio Búsqueda]],TODAY()),NETWORKDAYS(Tabla1[[#This Row],[Fecha Inicio Búsqueda]],Tabla1[[#This Row],[Fecha Cubierta Búsqueda]]))</f>
        <v>0</v>
      </c>
      <c r="N127" s="123"/>
      <c r="O127" s="123"/>
      <c r="P127" s="123"/>
      <c r="Q127" s="128"/>
      <c r="R127" s="128"/>
      <c r="S127" s="128"/>
      <c r="T127" s="74"/>
      <c r="U127" s="122"/>
      <c r="V127" s="122"/>
    </row>
    <row r="128" spans="1:22" x14ac:dyDescent="0.3">
      <c r="A128" s="74" t="s">
        <v>0</v>
      </c>
      <c r="B128" s="74" t="s">
        <v>5</v>
      </c>
      <c r="C128" s="74" t="s">
        <v>79</v>
      </c>
      <c r="D128" s="74" t="s">
        <v>8</v>
      </c>
      <c r="E128" s="74" t="s">
        <v>114</v>
      </c>
      <c r="F128" s="74" t="s">
        <v>12</v>
      </c>
      <c r="G128" s="74" t="s">
        <v>525</v>
      </c>
      <c r="H128" s="161" t="s">
        <v>526</v>
      </c>
      <c r="I128" s="74" t="s">
        <v>16</v>
      </c>
      <c r="J128" s="74" t="s">
        <v>334</v>
      </c>
      <c r="K128" s="74" t="s">
        <v>23</v>
      </c>
      <c r="L128" s="74"/>
      <c r="M128" s="74">
        <f ca="1">IF(Tabla1[[#This Row],[Estado]]="Activa",NETWORKDAYS(Tabla1[[#This Row],[Fecha Inicio Búsqueda]],TODAY()),NETWORKDAYS(Tabla1[[#This Row],[Fecha Inicio Búsqueda]],Tabla1[[#This Row],[Fecha Cubierta Búsqueda]]))</f>
        <v>22</v>
      </c>
      <c r="N128" s="123" t="s">
        <v>527</v>
      </c>
      <c r="O128" s="123"/>
      <c r="P128" s="123"/>
      <c r="Q128" s="128"/>
      <c r="R128" s="128">
        <v>46076</v>
      </c>
      <c r="S128" s="128"/>
      <c r="T128" s="74"/>
      <c r="U128" s="122" t="s">
        <v>83</v>
      </c>
      <c r="V128" s="122"/>
    </row>
    <row r="129" spans="1:22" x14ac:dyDescent="0.3">
      <c r="A129" s="74" t="s">
        <v>0</v>
      </c>
      <c r="B129" s="74" t="s">
        <v>5</v>
      </c>
      <c r="C129" s="74" t="s">
        <v>509</v>
      </c>
      <c r="D129" s="74" t="s">
        <v>9</v>
      </c>
      <c r="E129" s="74" t="s">
        <v>548</v>
      </c>
      <c r="F129" s="74" t="s">
        <v>12</v>
      </c>
      <c r="G129" s="74" t="s">
        <v>510</v>
      </c>
      <c r="H129" s="161" t="s">
        <v>549</v>
      </c>
      <c r="I129" s="74" t="s">
        <v>18</v>
      </c>
      <c r="J129" s="74" t="s">
        <v>334</v>
      </c>
      <c r="K129" s="74" t="s">
        <v>23</v>
      </c>
      <c r="L129" s="74"/>
      <c r="M129" s="74">
        <f ca="1">IF(Tabla1[[#This Row],[Estado]]="Activa",NETWORKDAYS(Tabla1[[#This Row],[Fecha Inicio Búsqueda]],TODAY()),NETWORKDAYS(Tabla1[[#This Row],[Fecha Inicio Búsqueda]],Tabla1[[#This Row],[Fecha Cubierta Búsqueda]]))</f>
        <v>7</v>
      </c>
      <c r="N129" s="123" t="s">
        <v>550</v>
      </c>
      <c r="O129" s="123"/>
      <c r="P129" s="123"/>
      <c r="Q129" s="128"/>
      <c r="R129" s="128">
        <v>46097</v>
      </c>
      <c r="S129" s="128"/>
      <c r="T129" s="74"/>
      <c r="U129" s="122"/>
      <c r="V129" s="122"/>
    </row>
    <row r="130" spans="1:22" x14ac:dyDescent="0.3">
      <c r="A130" s="74" t="s">
        <v>0</v>
      </c>
      <c r="B130" s="74" t="s">
        <v>5</v>
      </c>
      <c r="C130" s="74" t="s">
        <v>113</v>
      </c>
      <c r="D130" s="74" t="s">
        <v>8</v>
      </c>
      <c r="E130" s="74" t="s">
        <v>114</v>
      </c>
      <c r="F130" s="74" t="s">
        <v>12</v>
      </c>
      <c r="G130" s="74" t="s">
        <v>551</v>
      </c>
      <c r="H130" s="74" t="s">
        <v>552</v>
      </c>
      <c r="I130" s="74" t="s">
        <v>16</v>
      </c>
      <c r="J130" s="74" t="s">
        <v>334</v>
      </c>
      <c r="K130" s="74" t="s">
        <v>23</v>
      </c>
      <c r="L130" s="74"/>
      <c r="M130" s="74">
        <f ca="1">IF(Tabla1[[#This Row],[Estado]]="Activa",NETWORKDAYS(Tabla1[[#This Row],[Fecha Inicio Búsqueda]],TODAY()),NETWORKDAYS(Tabla1[[#This Row],[Fecha Inicio Búsqueda]],Tabla1[[#This Row],[Fecha Cubierta Búsqueda]]))</f>
        <v>11</v>
      </c>
      <c r="N130" s="123" t="s">
        <v>553</v>
      </c>
      <c r="O130" s="123"/>
      <c r="P130" s="123"/>
      <c r="Q130" s="128"/>
      <c r="R130" s="128">
        <v>46091</v>
      </c>
      <c r="S130" s="128"/>
      <c r="T130" s="74"/>
      <c r="U130" s="122"/>
      <c r="V130" s="122"/>
    </row>
    <row r="131" spans="1:22" x14ac:dyDescent="0.3">
      <c r="A131" s="74" t="s">
        <v>0</v>
      </c>
      <c r="B131" s="74" t="s">
        <v>5</v>
      </c>
      <c r="C131" s="74" t="s">
        <v>185</v>
      </c>
      <c r="D131" s="74" t="s">
        <v>8</v>
      </c>
      <c r="E131" s="74" t="s">
        <v>114</v>
      </c>
      <c r="F131" s="74" t="s">
        <v>11</v>
      </c>
      <c r="G131" s="74" t="s">
        <v>435</v>
      </c>
      <c r="H131" s="74" t="s">
        <v>554</v>
      </c>
      <c r="I131" s="74" t="s">
        <v>16</v>
      </c>
      <c r="J131" s="74" t="s">
        <v>334</v>
      </c>
      <c r="K131" s="74" t="s">
        <v>23</v>
      </c>
      <c r="L131" s="74"/>
      <c r="M131" s="74">
        <f ca="1">IF(Tabla1[[#This Row],[Estado]]="Activa",NETWORKDAYS(Tabla1[[#This Row],[Fecha Inicio Búsqueda]],TODAY()),NETWORKDAYS(Tabla1[[#This Row],[Fecha Inicio Búsqueda]],Tabla1[[#This Row],[Fecha Cubierta Búsqueda]]))</f>
        <v>11</v>
      </c>
      <c r="N131" s="123" t="s">
        <v>527</v>
      </c>
      <c r="O131" s="123"/>
      <c r="P131" s="123"/>
      <c r="Q131" s="128"/>
      <c r="R131" s="128">
        <v>46091</v>
      </c>
      <c r="S131" s="128"/>
      <c r="T131" s="74"/>
      <c r="U131" s="122"/>
      <c r="V131" s="122"/>
    </row>
    <row r="132" spans="1:22" x14ac:dyDescent="0.3">
      <c r="A132" s="74" t="s">
        <v>0</v>
      </c>
      <c r="B132" s="74" t="s">
        <v>5</v>
      </c>
      <c r="C132" s="74" t="s">
        <v>185</v>
      </c>
      <c r="D132" s="74" t="s">
        <v>8</v>
      </c>
      <c r="E132" s="74" t="s">
        <v>114</v>
      </c>
      <c r="F132" s="74" t="s">
        <v>12</v>
      </c>
      <c r="G132" s="74" t="s">
        <v>551</v>
      </c>
      <c r="H132" s="74" t="s">
        <v>555</v>
      </c>
      <c r="I132" s="74" t="s">
        <v>16</v>
      </c>
      <c r="J132" s="74" t="s">
        <v>334</v>
      </c>
      <c r="K132" s="74" t="s">
        <v>23</v>
      </c>
      <c r="L132" s="74"/>
      <c r="M132" s="74">
        <f ca="1">IF(Tabla1[[#This Row],[Estado]]="Activa",NETWORKDAYS(Tabla1[[#This Row],[Fecha Inicio Búsqueda]],TODAY()),NETWORKDAYS(Tabla1[[#This Row],[Fecha Inicio Búsqueda]],Tabla1[[#This Row],[Fecha Cubierta Búsqueda]]))</f>
        <v>11</v>
      </c>
      <c r="N132" s="123" t="s">
        <v>527</v>
      </c>
      <c r="O132" s="123"/>
      <c r="P132" s="123"/>
      <c r="Q132" s="128"/>
      <c r="R132" s="128">
        <v>46091</v>
      </c>
      <c r="S132" s="128"/>
      <c r="T132" s="74"/>
      <c r="U132" s="122"/>
      <c r="V132" s="122"/>
    </row>
    <row r="133" spans="1:22" x14ac:dyDescent="0.3">
      <c r="A133" s="74" t="s">
        <v>0</v>
      </c>
      <c r="B133" s="74" t="s">
        <v>5</v>
      </c>
      <c r="C133" s="74" t="s">
        <v>322</v>
      </c>
      <c r="D133" s="74" t="s">
        <v>8</v>
      </c>
      <c r="E133" s="74" t="s">
        <v>114</v>
      </c>
      <c r="F133" s="74" t="s">
        <v>11</v>
      </c>
      <c r="G133" s="74" t="s">
        <v>323</v>
      </c>
      <c r="H133" s="161" t="s">
        <v>556</v>
      </c>
      <c r="I133" s="74" t="s">
        <v>18</v>
      </c>
      <c r="J133" s="74" t="s">
        <v>11</v>
      </c>
      <c r="K133" s="74" t="s">
        <v>23</v>
      </c>
      <c r="L133" s="74"/>
      <c r="M133" s="74">
        <f ca="1">IF(Tabla1[[#This Row],[Estado]]="Activa",NETWORKDAYS(Tabla1[[#This Row],[Fecha Inicio Búsqueda]],TODAY()),NETWORKDAYS(Tabla1[[#This Row],[Fecha Inicio Búsqueda]],Tabla1[[#This Row],[Fecha Cubierta Búsqueda]]))</f>
        <v>13</v>
      </c>
      <c r="N133" s="123" t="s">
        <v>527</v>
      </c>
      <c r="O133" s="123"/>
      <c r="P133" s="123"/>
      <c r="Q133" s="128"/>
      <c r="R133" s="128">
        <v>46087</v>
      </c>
      <c r="S133" s="128"/>
      <c r="T133" s="74"/>
      <c r="U133" s="122"/>
      <c r="V133" s="122"/>
    </row>
    <row r="134" spans="1:22" x14ac:dyDescent="0.3">
      <c r="A134" s="74" t="s">
        <v>0</v>
      </c>
      <c r="B134" s="74" t="s">
        <v>5</v>
      </c>
      <c r="C134" s="74" t="s">
        <v>322</v>
      </c>
      <c r="D134" s="74" t="s">
        <v>8</v>
      </c>
      <c r="E134" s="74" t="s">
        <v>114</v>
      </c>
      <c r="F134" s="74" t="s">
        <v>11</v>
      </c>
      <c r="G134" s="74" t="s">
        <v>323</v>
      </c>
      <c r="H134" s="161" t="s">
        <v>556</v>
      </c>
      <c r="I134" s="74" t="s">
        <v>18</v>
      </c>
      <c r="J134" s="74" t="s">
        <v>11</v>
      </c>
      <c r="K134" s="74" t="s">
        <v>23</v>
      </c>
      <c r="L134" s="74"/>
      <c r="M134" s="74">
        <f ca="1">IF(Tabla1[[#This Row],[Estado]]="Activa",NETWORKDAYS(Tabla1[[#This Row],[Fecha Inicio Búsqueda]],TODAY()),NETWORKDAYS(Tabla1[[#This Row],[Fecha Inicio Búsqueda]],Tabla1[[#This Row],[Fecha Cubierta Búsqueda]]))</f>
        <v>13</v>
      </c>
      <c r="N134" s="123" t="s">
        <v>527</v>
      </c>
      <c r="O134" s="123"/>
      <c r="P134" s="123"/>
      <c r="Q134" s="128"/>
      <c r="R134" s="128">
        <v>46087</v>
      </c>
      <c r="S134" s="128"/>
      <c r="T134" s="74"/>
      <c r="U134" s="122"/>
      <c r="V134" s="122"/>
    </row>
    <row r="135" spans="1:22" x14ac:dyDescent="0.3">
      <c r="A135" s="74" t="s">
        <v>0</v>
      </c>
      <c r="B135" s="74" t="s">
        <v>5</v>
      </c>
      <c r="C135" s="74"/>
      <c r="D135" s="74" t="s">
        <v>8</v>
      </c>
      <c r="E135" s="34" t="s">
        <v>44</v>
      </c>
      <c r="F135" s="74" t="s">
        <v>11</v>
      </c>
      <c r="G135" s="74" t="s">
        <v>557</v>
      </c>
      <c r="H135" s="161" t="s">
        <v>558</v>
      </c>
      <c r="I135" s="74" t="s">
        <v>16</v>
      </c>
      <c r="J135" s="74"/>
      <c r="K135" s="74" t="s">
        <v>23</v>
      </c>
      <c r="L135" s="74"/>
      <c r="M135" s="74">
        <f ca="1">IF(Tabla1[[#This Row],[Estado]]="Activa",NETWORKDAYS(Tabla1[[#This Row],[Fecha Inicio Búsqueda]],TODAY()),NETWORKDAYS(Tabla1[[#This Row],[Fecha Inicio Búsqueda]],Tabla1[[#This Row],[Fecha Cubierta Búsqueda]]))</f>
        <v>32932</v>
      </c>
      <c r="N135" s="50"/>
      <c r="O135" s="50"/>
      <c r="P135" s="50"/>
      <c r="Q135" s="128"/>
      <c r="R135" s="128"/>
      <c r="S135" s="128"/>
      <c r="T135" s="74"/>
      <c r="U135" s="122"/>
      <c r="V135" s="122"/>
    </row>
    <row r="136" spans="1:22" x14ac:dyDescent="0.3">
      <c r="A136" s="74" t="s">
        <v>0</v>
      </c>
      <c r="B136" s="74" t="s">
        <v>5</v>
      </c>
      <c r="C136" s="74" t="s">
        <v>185</v>
      </c>
      <c r="D136" s="74" t="s">
        <v>8</v>
      </c>
      <c r="E136" s="34" t="s">
        <v>44</v>
      </c>
      <c r="F136" s="74" t="s">
        <v>11</v>
      </c>
      <c r="G136" s="74" t="s">
        <v>559</v>
      </c>
      <c r="H136" s="161" t="s">
        <v>560</v>
      </c>
      <c r="I136" s="74" t="s">
        <v>15</v>
      </c>
      <c r="J136" s="74" t="s">
        <v>533</v>
      </c>
      <c r="K136" s="74" t="s">
        <v>23</v>
      </c>
      <c r="L136" s="74"/>
      <c r="M136" s="74">
        <f ca="1">IF(Tabla1[[#This Row],[Estado]]="Activa",NETWORKDAYS(Tabla1[[#This Row],[Fecha Inicio Búsqueda]],TODAY()),NETWORKDAYS(Tabla1[[#This Row],[Fecha Inicio Búsqueda]],Tabla1[[#This Row],[Fecha Cubierta Búsqueda]]))</f>
        <v>8</v>
      </c>
      <c r="N136" s="50" t="s">
        <v>561</v>
      </c>
      <c r="O136" s="50"/>
      <c r="P136" s="50"/>
      <c r="Q136" s="128"/>
      <c r="R136" s="128">
        <v>46094</v>
      </c>
      <c r="S136" s="128"/>
      <c r="T136" s="74"/>
      <c r="U136" s="122"/>
      <c r="V136" s="122"/>
    </row>
    <row r="137" spans="1:22" x14ac:dyDescent="0.3">
      <c r="A137" s="74" t="s">
        <v>0</v>
      </c>
      <c r="B137" s="74" t="s">
        <v>5</v>
      </c>
      <c r="C137" s="74"/>
      <c r="D137" s="74" t="s">
        <v>8</v>
      </c>
      <c r="E137" s="34" t="s">
        <v>44</v>
      </c>
      <c r="F137" s="74" t="s">
        <v>11</v>
      </c>
      <c r="G137" s="74" t="s">
        <v>497</v>
      </c>
      <c r="H137" s="161" t="s">
        <v>562</v>
      </c>
      <c r="I137" s="74" t="s">
        <v>17</v>
      </c>
      <c r="J137" s="74"/>
      <c r="K137" s="74" t="s">
        <v>23</v>
      </c>
      <c r="L137" s="74"/>
      <c r="M137" s="74">
        <f ca="1">IF(Tabla1[[#This Row],[Estado]]="Activa",NETWORKDAYS(Tabla1[[#This Row],[Fecha Inicio Búsqueda]],TODAY()),NETWORKDAYS(Tabla1[[#This Row],[Fecha Inicio Búsqueda]],Tabla1[[#This Row],[Fecha Cubierta Búsqueda]]))</f>
        <v>7</v>
      </c>
      <c r="N137" s="50"/>
      <c r="O137" s="50"/>
      <c r="P137" s="50"/>
      <c r="Q137" s="124"/>
      <c r="R137" s="146">
        <v>46097</v>
      </c>
      <c r="S137" s="146"/>
      <c r="T137" s="122"/>
      <c r="U137" s="122"/>
      <c r="V137" s="122"/>
    </row>
    <row r="138" spans="1:22" ht="28.8" x14ac:dyDescent="0.3">
      <c r="A138" s="74" t="s">
        <v>0</v>
      </c>
      <c r="B138" s="74" t="s">
        <v>5</v>
      </c>
      <c r="C138" s="74"/>
      <c r="D138" s="74" t="s">
        <v>8</v>
      </c>
      <c r="E138" s="34" t="s">
        <v>44</v>
      </c>
      <c r="F138" s="74" t="s">
        <v>11</v>
      </c>
      <c r="G138" s="74" t="s">
        <v>563</v>
      </c>
      <c r="H138" s="161" t="s">
        <v>564</v>
      </c>
      <c r="I138" s="74" t="s">
        <v>17</v>
      </c>
      <c r="J138" s="74" t="s">
        <v>565</v>
      </c>
      <c r="K138" s="74" t="s">
        <v>23</v>
      </c>
      <c r="L138" s="74"/>
      <c r="M138" s="74">
        <f ca="1">IF(Tabla1[[#This Row],[Estado]]="Activa",NETWORKDAYS(Tabla1[[#This Row],[Fecha Inicio Búsqueda]],TODAY()),NETWORKDAYS(Tabla1[[#This Row],[Fecha Inicio Búsqueda]],Tabla1[[#This Row],[Fecha Cubierta Búsqueda]]))</f>
        <v>14</v>
      </c>
      <c r="N138" s="50" t="s">
        <v>566</v>
      </c>
      <c r="O138" s="50"/>
      <c r="P138" s="50"/>
      <c r="Q138" s="124"/>
      <c r="R138" s="146">
        <v>46086</v>
      </c>
      <c r="S138" s="146"/>
      <c r="T138" s="122"/>
      <c r="U138" s="122"/>
      <c r="V138" s="122"/>
    </row>
    <row r="139" spans="1:22" x14ac:dyDescent="0.3">
      <c r="A139" s="74" t="s">
        <v>3</v>
      </c>
      <c r="B139" s="74" t="s">
        <v>6</v>
      </c>
      <c r="C139" s="74" t="s">
        <v>355</v>
      </c>
      <c r="D139" s="74" t="s">
        <v>10</v>
      </c>
      <c r="E139" s="34" t="s">
        <v>45</v>
      </c>
      <c r="F139" s="74" t="s">
        <v>11</v>
      </c>
      <c r="G139" s="74" t="s">
        <v>492</v>
      </c>
      <c r="H139" s="161" t="s">
        <v>567</v>
      </c>
      <c r="I139" s="74" t="s">
        <v>16</v>
      </c>
      <c r="J139" s="74" t="s">
        <v>568</v>
      </c>
      <c r="K139" s="133" t="s">
        <v>23</v>
      </c>
      <c r="L139" s="127" t="s">
        <v>28</v>
      </c>
      <c r="M139" s="16">
        <f ca="1">IF(Tabla1[[#This Row],[Estado]]="Activa",NETWORKDAYS(Tabla1[[#This Row],[Fecha Inicio Búsqueda]],TODAY()),NETWORKDAYS(Tabla1[[#This Row],[Fecha Inicio Búsqueda]],Tabla1[[#This Row],[Fecha Cubierta Búsqueda]]))</f>
        <v>17</v>
      </c>
      <c r="N139" s="50"/>
      <c r="O139" s="50"/>
      <c r="P139" s="50"/>
      <c r="Q139" s="128"/>
      <c r="R139" s="128">
        <v>46083</v>
      </c>
      <c r="S139" s="128"/>
      <c r="T139" s="74"/>
      <c r="U139" s="55" t="s">
        <v>83</v>
      </c>
      <c r="V139" s="122"/>
    </row>
    <row r="140" spans="1:22" x14ac:dyDescent="0.3">
      <c r="A140" s="74" t="s">
        <v>3</v>
      </c>
      <c r="B140" s="74" t="s">
        <v>6</v>
      </c>
      <c r="C140" s="74" t="s">
        <v>569</v>
      </c>
      <c r="D140" s="74" t="s">
        <v>8</v>
      </c>
      <c r="E140" s="74" t="s">
        <v>48</v>
      </c>
      <c r="F140" s="74" t="s">
        <v>12</v>
      </c>
      <c r="G140" s="74" t="s">
        <v>546</v>
      </c>
      <c r="H140" s="161" t="s">
        <v>570</v>
      </c>
      <c r="I140" s="74" t="s">
        <v>13</v>
      </c>
      <c r="J140" s="74" t="s">
        <v>334</v>
      </c>
      <c r="K140" s="133" t="s">
        <v>23</v>
      </c>
      <c r="L140" s="127" t="s">
        <v>28</v>
      </c>
      <c r="M140" s="16">
        <f ca="1">IF(Tabla1[[#This Row],[Estado]]="Activa",NETWORKDAYS(Tabla1[[#This Row],[Fecha Inicio Búsqueda]],TODAY()),NETWORKDAYS(Tabla1[[#This Row],[Fecha Inicio Búsqueda]],Tabla1[[#This Row],[Fecha Cubierta Búsqueda]]))</f>
        <v>11</v>
      </c>
      <c r="N140" s="50"/>
      <c r="O140" s="50"/>
      <c r="P140" s="50"/>
      <c r="Q140" s="124"/>
      <c r="R140" s="146">
        <v>46091</v>
      </c>
      <c r="S140" s="146"/>
      <c r="T140" s="122"/>
      <c r="U140" s="43" t="s">
        <v>83</v>
      </c>
      <c r="V140" s="122"/>
    </row>
    <row r="141" spans="1:22" x14ac:dyDescent="0.3">
      <c r="A141" s="74" t="s">
        <v>3</v>
      </c>
      <c r="B141" s="74" t="s">
        <v>6</v>
      </c>
      <c r="C141" s="74" t="s">
        <v>384</v>
      </c>
      <c r="D141" s="74" t="s">
        <v>8</v>
      </c>
      <c r="E141" s="34" t="s">
        <v>337</v>
      </c>
      <c r="F141" s="74" t="s">
        <v>11</v>
      </c>
      <c r="G141" s="74" t="s">
        <v>338</v>
      </c>
      <c r="H141" s="161" t="s">
        <v>571</v>
      </c>
      <c r="I141" s="74" t="s">
        <v>16</v>
      </c>
      <c r="J141" s="74" t="s">
        <v>387</v>
      </c>
      <c r="K141" s="133" t="s">
        <v>23</v>
      </c>
      <c r="L141" s="127" t="s">
        <v>28</v>
      </c>
      <c r="M141" s="16">
        <f ca="1">IF(Tabla1[[#This Row],[Estado]]="Activa",NETWORKDAYS(Tabla1[[#This Row],[Fecha Inicio Búsqueda]],TODAY()),NETWORKDAYS(Tabla1[[#This Row],[Fecha Inicio Búsqueda]],Tabla1[[#This Row],[Fecha Cubierta Búsqueda]]))</f>
        <v>9</v>
      </c>
      <c r="N141" s="50"/>
      <c r="O141" s="50"/>
      <c r="P141" s="50"/>
      <c r="Q141" s="128"/>
      <c r="R141" s="128">
        <v>46093</v>
      </c>
      <c r="S141" s="128"/>
      <c r="T141" s="74"/>
      <c r="U141" s="55" t="s">
        <v>83</v>
      </c>
      <c r="V141" s="122"/>
    </row>
    <row r="142" spans="1:22" x14ac:dyDescent="0.3">
      <c r="A142" s="74" t="s">
        <v>3</v>
      </c>
      <c r="B142" s="74" t="s">
        <v>6</v>
      </c>
      <c r="C142" s="74" t="s">
        <v>485</v>
      </c>
      <c r="D142" s="122" t="s">
        <v>10</v>
      </c>
      <c r="E142" s="34" t="s">
        <v>45</v>
      </c>
      <c r="F142" s="74" t="s">
        <v>12</v>
      </c>
      <c r="G142" s="74" t="s">
        <v>572</v>
      </c>
      <c r="H142" s="161" t="s">
        <v>573</v>
      </c>
      <c r="I142" s="168" t="s">
        <v>13</v>
      </c>
      <c r="J142" s="168" t="s">
        <v>334</v>
      </c>
      <c r="K142" s="133" t="s">
        <v>23</v>
      </c>
      <c r="L142" s="127" t="s">
        <v>28</v>
      </c>
      <c r="M142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142" s="123"/>
      <c r="O142" s="123"/>
      <c r="P142" s="123"/>
      <c r="Q142" s="124"/>
      <c r="R142" s="146">
        <v>46101</v>
      </c>
      <c r="S142" s="146"/>
      <c r="T142" s="122"/>
      <c r="U142" s="74" t="s">
        <v>276</v>
      </c>
      <c r="V142" s="122"/>
    </row>
    <row r="143" spans="1:22" x14ac:dyDescent="0.3">
      <c r="A143" s="74" t="s">
        <v>3</v>
      </c>
      <c r="B143" s="74" t="s">
        <v>6</v>
      </c>
      <c r="C143" s="74" t="s">
        <v>485</v>
      </c>
      <c r="D143" s="122" t="s">
        <v>10</v>
      </c>
      <c r="E143" s="34" t="s">
        <v>45</v>
      </c>
      <c r="F143" s="74" t="s">
        <v>12</v>
      </c>
      <c r="G143" s="74" t="s">
        <v>572</v>
      </c>
      <c r="H143" s="161" t="s">
        <v>574</v>
      </c>
      <c r="I143" s="168" t="s">
        <v>16</v>
      </c>
      <c r="J143" s="168" t="s">
        <v>334</v>
      </c>
      <c r="K143" s="133" t="s">
        <v>23</v>
      </c>
      <c r="L143" s="127" t="s">
        <v>28</v>
      </c>
      <c r="M143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143" s="123"/>
      <c r="O143" s="123"/>
      <c r="P143" s="123"/>
      <c r="Q143" s="124"/>
      <c r="R143" s="146">
        <v>46101</v>
      </c>
      <c r="S143" s="146"/>
      <c r="T143" s="122"/>
      <c r="U143" s="74" t="s">
        <v>276</v>
      </c>
      <c r="V143" s="122"/>
    </row>
    <row r="144" spans="1:22" x14ac:dyDescent="0.3">
      <c r="A144" s="74" t="s">
        <v>3</v>
      </c>
      <c r="B144" s="74" t="s">
        <v>6</v>
      </c>
      <c r="C144" s="74" t="s">
        <v>370</v>
      </c>
      <c r="D144" s="122" t="s">
        <v>10</v>
      </c>
      <c r="E144" s="34" t="s">
        <v>45</v>
      </c>
      <c r="F144" s="74" t="s">
        <v>12</v>
      </c>
      <c r="G144" s="74" t="s">
        <v>387</v>
      </c>
      <c r="H144" s="161" t="s">
        <v>573</v>
      </c>
      <c r="I144" s="168" t="s">
        <v>13</v>
      </c>
      <c r="J144" s="168" t="s">
        <v>334</v>
      </c>
      <c r="K144" s="133" t="s">
        <v>23</v>
      </c>
      <c r="L144" s="127" t="s">
        <v>28</v>
      </c>
      <c r="M144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144" s="123"/>
      <c r="O144" s="123"/>
      <c r="P144" s="123"/>
      <c r="Q144" s="124"/>
      <c r="R144" s="146">
        <v>46101</v>
      </c>
      <c r="S144" s="146"/>
      <c r="T144" s="122"/>
      <c r="U144" s="74" t="s">
        <v>276</v>
      </c>
      <c r="V144" s="122"/>
    </row>
    <row r="145" spans="1:22" x14ac:dyDescent="0.3">
      <c r="A145" s="74" t="s">
        <v>3</v>
      </c>
      <c r="B145" s="74" t="s">
        <v>6</v>
      </c>
      <c r="C145" s="74" t="s">
        <v>370</v>
      </c>
      <c r="D145" s="122" t="s">
        <v>10</v>
      </c>
      <c r="E145" s="34" t="s">
        <v>45</v>
      </c>
      <c r="F145" s="74" t="s">
        <v>12</v>
      </c>
      <c r="G145" s="74" t="s">
        <v>387</v>
      </c>
      <c r="H145" s="161" t="s">
        <v>574</v>
      </c>
      <c r="I145" s="168" t="s">
        <v>16</v>
      </c>
      <c r="J145" s="168" t="s">
        <v>334</v>
      </c>
      <c r="K145" s="133" t="s">
        <v>23</v>
      </c>
      <c r="L145" s="127" t="s">
        <v>28</v>
      </c>
      <c r="M145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145" s="123"/>
      <c r="O145" s="123"/>
      <c r="P145" s="123"/>
      <c r="Q145" s="124"/>
      <c r="R145" s="146">
        <v>46101</v>
      </c>
      <c r="S145" s="146"/>
      <c r="T145" s="122"/>
      <c r="U145" s="74" t="s">
        <v>276</v>
      </c>
      <c r="V145" s="122"/>
    </row>
    <row r="146" spans="1:22" x14ac:dyDescent="0.3">
      <c r="A146" s="74" t="s">
        <v>3</v>
      </c>
      <c r="B146" s="74" t="s">
        <v>6</v>
      </c>
      <c r="C146" s="74" t="s">
        <v>370</v>
      </c>
      <c r="D146" s="122" t="s">
        <v>10</v>
      </c>
      <c r="E146" s="34" t="s">
        <v>45</v>
      </c>
      <c r="F146" s="74" t="s">
        <v>12</v>
      </c>
      <c r="G146" s="74" t="s">
        <v>492</v>
      </c>
      <c r="H146" s="161" t="s">
        <v>574</v>
      </c>
      <c r="I146" s="168" t="s">
        <v>16</v>
      </c>
      <c r="J146" s="168" t="s">
        <v>334</v>
      </c>
      <c r="K146" s="133" t="s">
        <v>23</v>
      </c>
      <c r="L146" s="127" t="s">
        <v>28</v>
      </c>
      <c r="M146" s="16">
        <f ca="1">IF(Tabla1[[#This Row],[Estado]]="Activa",NETWORKDAYS(Tabla1[[#This Row],[Fecha Inicio Búsqueda]],TODAY()),NETWORKDAYS(Tabla1[[#This Row],[Fecha Inicio Búsqueda]],Tabla1[[#This Row],[Fecha Cubierta Búsqueda]]))</f>
        <v>3</v>
      </c>
      <c r="N146" s="123"/>
      <c r="O146" s="123"/>
      <c r="P146" s="123"/>
      <c r="Q146" s="124"/>
      <c r="R146" s="146">
        <v>46101</v>
      </c>
      <c r="S146" s="146"/>
      <c r="T146" s="122"/>
      <c r="U146" s="74" t="s">
        <v>276</v>
      </c>
      <c r="V146" s="122"/>
    </row>
    <row r="147" spans="1:22" x14ac:dyDescent="0.3">
      <c r="A147" s="74" t="s">
        <v>1</v>
      </c>
      <c r="B147" s="57" t="s">
        <v>5</v>
      </c>
      <c r="C147" s="122" t="s">
        <v>195</v>
      </c>
      <c r="D147" s="139" t="s">
        <v>8</v>
      </c>
      <c r="E147" s="35" t="s">
        <v>45</v>
      </c>
      <c r="F147" s="35" t="s">
        <v>11</v>
      </c>
      <c r="G147" s="139" t="s">
        <v>575</v>
      </c>
      <c r="H147" s="113" t="s">
        <v>576</v>
      </c>
      <c r="I147" s="122" t="s">
        <v>16</v>
      </c>
      <c r="J147" s="139" t="s">
        <v>214</v>
      </c>
      <c r="K147" s="133" t="s">
        <v>23</v>
      </c>
      <c r="L147" s="185" t="s">
        <v>28</v>
      </c>
      <c r="M147" s="16">
        <f ca="1">IF(Tabla1[[#This Row],[Estado]]="Activa",NETWORKDAYS(Tabla1[[#This Row],[Fecha Inicio Búsqueda]],TODAY()),NETWORKDAYS(Tabla1[[#This Row],[Fecha Inicio Búsqueda]],Tabla1[[#This Row],[Fecha Cubierta Búsqueda]]))</f>
        <v>10</v>
      </c>
      <c r="N147" s="123"/>
      <c r="O147" s="123"/>
      <c r="P147" s="141" t="s">
        <v>22</v>
      </c>
      <c r="Q147" s="124"/>
      <c r="R147" s="146">
        <v>46092</v>
      </c>
      <c r="S147" s="146"/>
      <c r="T147" s="122"/>
      <c r="U147" s="122"/>
      <c r="V147" s="122"/>
    </row>
    <row r="148" spans="1:22" x14ac:dyDescent="0.3">
      <c r="A148" s="74" t="s">
        <v>1</v>
      </c>
      <c r="B148" s="57" t="s">
        <v>5</v>
      </c>
      <c r="C148" s="122"/>
      <c r="D148" s="139" t="s">
        <v>8</v>
      </c>
      <c r="E148" s="35" t="s">
        <v>45</v>
      </c>
      <c r="F148" s="35" t="s">
        <v>12</v>
      </c>
      <c r="G148" s="122"/>
      <c r="H148" s="113" t="s">
        <v>577</v>
      </c>
      <c r="I148" s="122" t="s">
        <v>16</v>
      </c>
      <c r="J148" s="122" t="s">
        <v>578</v>
      </c>
      <c r="K148" s="133" t="s">
        <v>23</v>
      </c>
      <c r="L148" s="185" t="s">
        <v>28</v>
      </c>
      <c r="M148" s="16">
        <f ca="1">IF(Tabla1[[#This Row],[Estado]]="Activa",NETWORKDAYS(Tabla1[[#This Row],[Fecha Inicio Búsqueda]],TODAY()),NETWORKDAYS(Tabla1[[#This Row],[Fecha Inicio Búsqueda]],Tabla1[[#This Row],[Fecha Cubierta Búsqueda]]))</f>
        <v>2</v>
      </c>
      <c r="N148" s="123"/>
      <c r="O148" s="123"/>
      <c r="P148" s="141" t="s">
        <v>22</v>
      </c>
      <c r="Q148" s="124"/>
      <c r="R148" s="146">
        <v>46104</v>
      </c>
      <c r="S148" s="146"/>
      <c r="T148" s="122"/>
      <c r="U148" s="122"/>
      <c r="V148" s="122"/>
    </row>
  </sheetData>
  <dataValidations count="7">
    <dataValidation type="list" allowBlank="1" showInputMessage="1" showErrorMessage="1" sqref="C14:C15 C19:C21 C24:C25 C44:C47 C35:C40 C27:C28" xr:uid="{52B0E5E7-F34D-4CE6-8922-25C0EE831D28}">
      <formula1>"Helen Romero, Antonia Rodríguez, Ivonne Paredes"</formula1>
    </dataValidation>
    <dataValidation type="list" allowBlank="1" showInputMessage="1" showErrorMessage="1" sqref="C16:C17" xr:uid="{D0BF5975-E243-4D37-AC72-C2EB58902A0B}">
      <formula1>"Helen Romero, Antonia Rodríguez, Ivonne Paredes, Daniela Levill, Cote Carrizo"</formula1>
    </dataValidation>
    <dataValidation type="list" allowBlank="1" showInputMessage="1" showErrorMessage="1" sqref="C18" xr:uid="{A50C3758-FE5F-4547-8A86-E55CDACEB501}">
      <formula1>"Helen Romero, Antonia Rodríguez, Ivonne Paredes, Daniela Levill, Cote Carrizo, Maria Jesus Lagos"</formula1>
    </dataValidation>
    <dataValidation type="list" allowBlank="1" showInputMessage="1" showErrorMessage="1" sqref="C22" xr:uid="{9BA4D832-1B77-4A35-8609-6CDA01AE8AD0}">
      <formula1>"Helen Romero, Antonia Rodríguez, Ivonne Paredes, Josefina Larraín"</formula1>
    </dataValidation>
    <dataValidation type="list" allowBlank="1" showInputMessage="1" showErrorMessage="1" sqref="C26" xr:uid="{BE13D921-A2C0-4E78-9957-138B15A3E95F}">
      <formula1>"Helen Romero, Antonia Rodríguez, Ivonne Paredes, Sofia Sinay"</formula1>
    </dataValidation>
    <dataValidation allowBlank="1" showInputMessage="1" showErrorMessage="1" sqref="J14:J15 J25 H57 H59" xr:uid="{DD0EF8B6-5DA8-4D1F-AC8C-D82C57CFF4CD}"/>
    <dataValidation type="list" allowBlank="1" showInputMessage="1" showErrorMessage="1" sqref="T47 H47" xr:uid="{9E48774B-FC6F-48E9-AC29-8A5BC8B7DB3A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64BC514-A6D5-4755-B178-B53DD56DB540}">
          <x14:formula1>
            <xm:f>Fórmulas!$A$3:$A$7</xm:f>
          </x14:formula1>
          <xm:sqref>A1:A1048576</xm:sqref>
        </x14:dataValidation>
        <x14:dataValidation type="list" allowBlank="1" showInputMessage="1" showErrorMessage="1" xr:uid="{CEBCB683-A303-4621-BB22-3D1A6B47333B}">
          <x14:formula1>
            <xm:f>Fórmulas!$A$9:$A$11</xm:f>
          </x14:formula1>
          <xm:sqref>B1:B1048576</xm:sqref>
        </x14:dataValidation>
        <x14:dataValidation type="list" allowBlank="1" showInputMessage="1" showErrorMessage="1" xr:uid="{983B4008-54C5-48AC-98BD-71A440D00E92}">
          <x14:formula1>
            <xm:f>Fórmulas!$A$13:$A$15</xm:f>
          </x14:formula1>
          <xm:sqref>D1:D1048576</xm:sqref>
        </x14:dataValidation>
        <x14:dataValidation type="list" allowBlank="1" showInputMessage="1" showErrorMessage="1" xr:uid="{1D431A39-B12D-4105-AD55-C696E84CA748}">
          <x14:formula1>
            <xm:f>Fórmulas!$A$17:$A$18</xm:f>
          </x14:formula1>
          <xm:sqref>F1:F1048576</xm:sqref>
        </x14:dataValidation>
        <x14:dataValidation type="list" allowBlank="1" showInputMessage="1" showErrorMessage="1" xr:uid="{2617BD21-B931-453A-B4C8-227F24403E00}">
          <x14:formula1>
            <xm:f>Fórmulas!$A$20:$A$26</xm:f>
          </x14:formula1>
          <xm:sqref>I1:I1048576</xm:sqref>
        </x14:dataValidation>
        <x14:dataValidation type="list" allowBlank="1" showInputMessage="1" showErrorMessage="1" xr:uid="{BB79FD13-A639-469A-8536-49A069A0DCDE}">
          <x14:formula1>
            <xm:f>Fórmulas!$A$28:$A$30</xm:f>
          </x14:formula1>
          <xm:sqref>P1:P1048576</xm:sqref>
        </x14:dataValidation>
        <x14:dataValidation type="list" allowBlank="1" showInputMessage="1" showErrorMessage="1" xr:uid="{30299185-D337-4190-8D44-75BC714FD1B0}">
          <x14:formula1>
            <xm:f>Fórmulas!$A$32:$A$35</xm:f>
          </x14:formula1>
          <xm:sqref>K1:K1048576</xm:sqref>
        </x14:dataValidation>
        <x14:dataValidation type="list" allowBlank="1" showInputMessage="1" showErrorMessage="1" xr:uid="{D5CB1DB2-0E51-4AA3-86CD-57FFBB5C586B}">
          <x14:formula1>
            <xm:f>Fórmulas!$A$37:$A$39</xm:f>
          </x14:formula1>
          <xm:sqref>L2:L148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fda4b-2c5f-4645-affc-1617087b1a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35613C3CCEC40945197C8129DE1ED" ma:contentTypeVersion="5" ma:contentTypeDescription="Crear nuevo documento." ma:contentTypeScope="" ma:versionID="69f99ccc7e6721f52a6f376a8a7bf81f">
  <xsd:schema xmlns:xsd="http://www.w3.org/2001/XMLSchema" xmlns:xs="http://www.w3.org/2001/XMLSchema" xmlns:p="http://schemas.microsoft.com/office/2006/metadata/properties" xmlns:ns3="73bfda4b-2c5f-4645-affc-1617087b1aaa" targetNamespace="http://schemas.microsoft.com/office/2006/metadata/properties" ma:root="true" ma:fieldsID="4e2f822f9ec61ed6cb1b34e9435d4f83" ns3:_="">
    <xsd:import namespace="73bfda4b-2c5f-4645-affc-1617087b1a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fda4b-2c5f-4645-affc-1617087b1a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BC0A37-2A34-42C5-80F0-119A48B2EB53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73bfda4b-2c5f-4645-affc-1617087b1aa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E19177-3016-46C0-9C6F-5DDA92ADE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08D9B-876F-47D2-9677-DEC9AD218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fda4b-2c5f-4645-affc-1617087b1a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Fórmulas</vt:lpstr>
      <vt:lpstr>Resumen Vacantes</vt:lpstr>
      <vt:lpstr>Hoja1</vt:lpstr>
      <vt:lpstr>Detalle Vacantes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José Carrizo Zúñiga</dc:creator>
  <cp:keywords/>
  <dc:description/>
  <cp:lastModifiedBy>Nicolas Figueroa Machuca</cp:lastModifiedBy>
  <cp:revision/>
  <dcterms:created xsi:type="dcterms:W3CDTF">2026-01-16T16:00:06Z</dcterms:created>
  <dcterms:modified xsi:type="dcterms:W3CDTF">2026-03-24T15:12:02Z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0x010100F8735613C3CCEC40945197C8129DE1ED</vt:lpwstr>
  </property>
</Properties>
</file>